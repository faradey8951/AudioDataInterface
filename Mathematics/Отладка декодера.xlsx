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farad\source\repos\AudioDataInterface OPUS test\Mathematics\"/>
    </mc:Choice>
  </mc:AlternateContent>
  <xr:revisionPtr revIDLastSave="0" documentId="13_ncr:1_{2B226415-AB0F-41F0-8F25-F42B41D0C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Лист1!$F$4:$F$42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" i="1"/>
  <c r="V80" i="1"/>
  <c r="E128" i="1" s="1"/>
  <c r="X75" i="1"/>
  <c r="X73" i="1"/>
  <c r="V68" i="1"/>
  <c r="E116" i="1" s="1"/>
  <c r="X63" i="1"/>
  <c r="X56" i="1"/>
  <c r="V52" i="1"/>
  <c r="E100" i="1" s="1"/>
  <c r="V48" i="1"/>
  <c r="E96" i="1" s="1"/>
  <c r="V53" i="1"/>
  <c r="E101" i="1" s="1"/>
  <c r="V54" i="1"/>
  <c r="E102" i="1" s="1"/>
  <c r="V65" i="1"/>
  <c r="E113" i="1" s="1"/>
  <c r="V77" i="1"/>
  <c r="E125" i="1" s="1"/>
  <c r="X51" i="1"/>
  <c r="X53" i="1"/>
  <c r="X54" i="1"/>
  <c r="X65" i="1"/>
  <c r="X76" i="1"/>
  <c r="X77" i="1"/>
  <c r="X83" i="1"/>
  <c r="V82" i="1"/>
  <c r="E130" i="1" s="1"/>
  <c r="V81" i="1"/>
  <c r="E129" i="1" s="1"/>
  <c r="V79" i="1"/>
  <c r="E127" i="1" s="1"/>
  <c r="X78" i="1"/>
  <c r="V74" i="1"/>
  <c r="E122" i="1" s="1"/>
  <c r="X71" i="1"/>
  <c r="V70" i="1"/>
  <c r="E118" i="1" s="1"/>
  <c r="V69" i="1"/>
  <c r="E117" i="1" s="1"/>
  <c r="V66" i="1"/>
  <c r="E114" i="1" s="1"/>
  <c r="V62" i="1"/>
  <c r="E110" i="1" s="1"/>
  <c r="X59" i="1"/>
  <c r="X58" i="1"/>
  <c r="V57" i="1"/>
  <c r="E105" i="1" s="1"/>
  <c r="X50" i="1"/>
  <c r="X47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94" i="1"/>
  <c r="X80" i="1" l="1"/>
  <c r="X52" i="1"/>
  <c r="V63" i="1"/>
  <c r="E111" i="1" s="1"/>
  <c r="V51" i="1"/>
  <c r="E99" i="1" s="1"/>
  <c r="V56" i="1"/>
  <c r="E104" i="1" s="1"/>
  <c r="V72" i="1"/>
  <c r="E120" i="1" s="1"/>
  <c r="V55" i="1"/>
  <c r="E103" i="1" s="1"/>
  <c r="X55" i="1"/>
  <c r="X64" i="1"/>
  <c r="G130" i="1"/>
  <c r="G105" i="1"/>
  <c r="G96" i="1"/>
  <c r="G118" i="1"/>
  <c r="G100" i="1"/>
  <c r="G102" i="1"/>
  <c r="X66" i="1"/>
  <c r="G116" i="1"/>
  <c r="G117" i="1"/>
  <c r="V78" i="1"/>
  <c r="E126" i="1" s="1"/>
  <c r="X81" i="1"/>
  <c r="X69" i="1"/>
  <c r="X57" i="1"/>
  <c r="V83" i="1"/>
  <c r="E131" i="1" s="1"/>
  <c r="V71" i="1"/>
  <c r="E119" i="1" s="1"/>
  <c r="V59" i="1"/>
  <c r="E107" i="1" s="1"/>
  <c r="V47" i="1"/>
  <c r="E95" i="1" s="1"/>
  <c r="G113" i="1"/>
  <c r="G125" i="1"/>
  <c r="X68" i="1"/>
  <c r="V58" i="1"/>
  <c r="E106" i="1" s="1"/>
  <c r="G128" i="1"/>
  <c r="G114" i="1"/>
  <c r="X79" i="1"/>
  <c r="X67" i="1"/>
  <c r="V67" i="1"/>
  <c r="E115" i="1" s="1"/>
  <c r="G110" i="1"/>
  <c r="X74" i="1"/>
  <c r="X62" i="1"/>
  <c r="V76" i="1"/>
  <c r="E124" i="1" s="1"/>
  <c r="V64" i="1"/>
  <c r="E112" i="1" s="1"/>
  <c r="G99" i="1"/>
  <c r="X61" i="1"/>
  <c r="X49" i="1"/>
  <c r="V75" i="1"/>
  <c r="E123" i="1" s="1"/>
  <c r="G129" i="1"/>
  <c r="X46" i="1"/>
  <c r="X72" i="1"/>
  <c r="X60" i="1"/>
  <c r="X48" i="1"/>
  <c r="V50" i="1"/>
  <c r="E98" i="1" s="1"/>
  <c r="G127" i="1"/>
  <c r="G101" i="1"/>
  <c r="G122" i="1"/>
  <c r="V73" i="1"/>
  <c r="E121" i="1" s="1"/>
  <c r="V61" i="1"/>
  <c r="E109" i="1" s="1"/>
  <c r="V49" i="1"/>
  <c r="E97" i="1" s="1"/>
  <c r="X82" i="1"/>
  <c r="X70" i="1"/>
  <c r="V46" i="1"/>
  <c r="E94" i="1" s="1"/>
  <c r="V60" i="1"/>
  <c r="E108" i="1" s="1"/>
  <c r="U81" i="1"/>
  <c r="U80" i="1"/>
  <c r="U72" i="1"/>
  <c r="U82" i="1"/>
  <c r="U60" i="1"/>
  <c r="U70" i="1"/>
  <c r="U69" i="1"/>
  <c r="U68" i="1"/>
  <c r="U58" i="1"/>
  <c r="U57" i="1"/>
  <c r="U56" i="1"/>
  <c r="U48" i="1"/>
  <c r="U83" i="1"/>
  <c r="U71" i="1"/>
  <c r="U59" i="1"/>
  <c r="U47" i="1"/>
  <c r="U79" i="1"/>
  <c r="U55" i="1"/>
  <c r="U67" i="1"/>
  <c r="U78" i="1"/>
  <c r="U66" i="1"/>
  <c r="U54" i="1"/>
  <c r="U77" i="1"/>
  <c r="U65" i="1"/>
  <c r="U53" i="1"/>
  <c r="U76" i="1"/>
  <c r="U64" i="1"/>
  <c r="U52" i="1"/>
  <c r="U75" i="1"/>
  <c r="U63" i="1"/>
  <c r="U51" i="1"/>
  <c r="U74" i="1"/>
  <c r="U62" i="1"/>
  <c r="U50" i="1"/>
  <c r="U73" i="1"/>
  <c r="U61" i="1"/>
  <c r="U49" i="1"/>
  <c r="P46" i="1"/>
  <c r="Q46" i="1" s="1"/>
  <c r="U46" i="1"/>
  <c r="G119" i="1" l="1"/>
  <c r="G131" i="1"/>
  <c r="G103" i="1"/>
  <c r="G104" i="1"/>
  <c r="G124" i="1"/>
  <c r="G126" i="1"/>
  <c r="G111" i="1"/>
  <c r="G120" i="1"/>
  <c r="G115" i="1"/>
  <c r="G112" i="1"/>
  <c r="G98" i="1"/>
  <c r="G106" i="1"/>
  <c r="G108" i="1"/>
  <c r="G107" i="1"/>
  <c r="G97" i="1"/>
  <c r="G95" i="1"/>
  <c r="G123" i="1"/>
  <c r="G121" i="1"/>
  <c r="G109" i="1"/>
  <c r="P56" i="1"/>
  <c r="Q56" i="1" s="1"/>
  <c r="P70" i="1"/>
  <c r="Q70" i="1" s="1"/>
  <c r="P65" i="1"/>
  <c r="Q65" i="1" s="1"/>
  <c r="P48" i="1"/>
  <c r="Q48" i="1" s="1"/>
  <c r="P52" i="1"/>
  <c r="Q52" i="1" s="1"/>
  <c r="P62" i="1"/>
  <c r="Q62" i="1" s="1"/>
  <c r="P75" i="1"/>
  <c r="Q75" i="1" s="1"/>
  <c r="P66" i="1"/>
  <c r="Q66" i="1" s="1"/>
  <c r="P59" i="1"/>
  <c r="Q59" i="1" s="1"/>
  <c r="P73" i="1"/>
  <c r="Q73" i="1" s="1"/>
  <c r="P55" i="1"/>
  <c r="Q55" i="1" s="1"/>
  <c r="P53" i="1"/>
  <c r="Q53" i="1" s="1"/>
  <c r="P50" i="1"/>
  <c r="Q50" i="1" s="1"/>
  <c r="P80" i="1"/>
  <c r="Q80" i="1" s="1"/>
  <c r="P76" i="1"/>
  <c r="Q76" i="1" s="1"/>
  <c r="P69" i="1" l="1"/>
  <c r="Q69" i="1" s="1"/>
  <c r="P51" i="1"/>
  <c r="Q51" i="1" s="1"/>
  <c r="P79" i="1"/>
  <c r="Q79" i="1" s="1"/>
  <c r="P68" i="1"/>
  <c r="Q68" i="1" s="1"/>
  <c r="P58" i="1"/>
  <c r="Q58" i="1" s="1"/>
  <c r="P81" i="1"/>
  <c r="Q81" i="1" s="1"/>
  <c r="P82" i="1"/>
  <c r="Q82" i="1" s="1"/>
  <c r="P47" i="1"/>
  <c r="Q47" i="1" s="1"/>
  <c r="P61" i="1"/>
  <c r="Q61" i="1" s="1"/>
  <c r="P74" i="1"/>
  <c r="Q74" i="1" s="1"/>
  <c r="P71" i="1"/>
  <c r="Q71" i="1" s="1"/>
  <c r="P64" i="1"/>
  <c r="Q64" i="1" s="1"/>
  <c r="P54" i="1"/>
  <c r="Q54" i="1" s="1"/>
  <c r="P78" i="1"/>
  <c r="Q78" i="1" s="1"/>
  <c r="P72" i="1"/>
  <c r="Q72" i="1" s="1"/>
  <c r="P67" i="1"/>
  <c r="Q67" i="1" s="1"/>
  <c r="P57" i="1"/>
  <c r="Q57" i="1" s="1"/>
  <c r="P77" i="1"/>
  <c r="Q77" i="1" s="1"/>
  <c r="P63" i="1"/>
  <c r="Q63" i="1" s="1"/>
  <c r="P49" i="1"/>
  <c r="Q49" i="1" s="1"/>
  <c r="P60" i="1"/>
  <c r="Q60" i="1" s="1"/>
  <c r="R46" i="1" l="1"/>
  <c r="N86" i="1" s="1"/>
  <c r="G94" i="1" l="1"/>
  <c r="J100" i="1" l="1"/>
  <c r="J97" i="1"/>
  <c r="J99" i="1"/>
  <c r="A108" i="1" s="1"/>
  <c r="J96" i="1"/>
  <c r="A121" i="1" l="1"/>
  <c r="C124" i="1"/>
  <c r="A118" i="1"/>
  <c r="A120" i="1"/>
  <c r="A119" i="1"/>
  <c r="A106" i="1"/>
  <c r="A125" i="1"/>
  <c r="A99" i="1"/>
  <c r="A103" i="1"/>
  <c r="A111" i="1"/>
  <c r="B111" i="1" s="1"/>
  <c r="A96" i="1"/>
  <c r="A102" i="1"/>
  <c r="A105" i="1"/>
  <c r="A130" i="1"/>
  <c r="A100" i="1"/>
  <c r="A107" i="1"/>
  <c r="A109" i="1"/>
  <c r="A122" i="1"/>
  <c r="A123" i="1"/>
  <c r="A124" i="1"/>
  <c r="B124" i="1" s="1"/>
  <c r="A128" i="1"/>
  <c r="A98" i="1"/>
  <c r="A117" i="1"/>
  <c r="A115" i="1"/>
  <c r="C110" i="1"/>
  <c r="A94" i="1"/>
  <c r="A127" i="1"/>
  <c r="A131" i="1"/>
  <c r="C102" i="1"/>
  <c r="C113" i="1"/>
  <c r="C126" i="1"/>
  <c r="C131" i="1"/>
  <c r="B131" i="1" s="1"/>
  <c r="C118" i="1"/>
  <c r="B118" i="1" s="1"/>
  <c r="C95" i="1"/>
  <c r="C128" i="1"/>
  <c r="C96" i="1"/>
  <c r="B96" i="1" s="1"/>
  <c r="C116" i="1"/>
  <c r="C120" i="1"/>
  <c r="C100" i="1"/>
  <c r="C111" i="1"/>
  <c r="C104" i="1"/>
  <c r="C127" i="1"/>
  <c r="C94" i="1"/>
  <c r="C105" i="1"/>
  <c r="C114" i="1"/>
  <c r="C122" i="1"/>
  <c r="C125" i="1"/>
  <c r="B125" i="1" s="1"/>
  <c r="C103" i="1"/>
  <c r="C108" i="1"/>
  <c r="B108" i="1" s="1"/>
  <c r="C106" i="1"/>
  <c r="C101" i="1"/>
  <c r="C130" i="1"/>
  <c r="C107" i="1"/>
  <c r="B107" i="1" s="1"/>
  <c r="C109" i="1"/>
  <c r="B109" i="1" s="1"/>
  <c r="A114" i="1"/>
  <c r="C123" i="1"/>
  <c r="B123" i="1" s="1"/>
  <c r="C99" i="1"/>
  <c r="C129" i="1"/>
  <c r="C121" i="1"/>
  <c r="B121" i="1" s="1"/>
  <c r="A129" i="1"/>
  <c r="A95" i="1"/>
  <c r="A104" i="1"/>
  <c r="C117" i="1"/>
  <c r="C98" i="1"/>
  <c r="C97" i="1"/>
  <c r="A113" i="1"/>
  <c r="C115" i="1"/>
  <c r="A116" i="1"/>
  <c r="A112" i="1"/>
  <c r="C112" i="1"/>
  <c r="A101" i="1"/>
  <c r="C119" i="1"/>
  <c r="B119" i="1" s="1"/>
  <c r="A126" i="1"/>
  <c r="A110" i="1"/>
  <c r="B110" i="1" s="1"/>
  <c r="A97" i="1"/>
  <c r="B99" i="1" l="1"/>
  <c r="B106" i="1"/>
  <c r="B120" i="1"/>
  <c r="B130" i="1"/>
  <c r="B117" i="1"/>
  <c r="B100" i="1"/>
  <c r="B116" i="1"/>
  <c r="B105" i="1"/>
  <c r="B127" i="1"/>
  <c r="B104" i="1"/>
  <c r="F31" i="1"/>
  <c r="G31" i="1" s="1"/>
  <c r="F9" i="1"/>
  <c r="G9" i="1" s="1"/>
  <c r="B102" i="1"/>
  <c r="B114" i="1"/>
  <c r="B103" i="1"/>
  <c r="B122" i="1"/>
  <c r="B98" i="1"/>
  <c r="B128" i="1"/>
  <c r="B94" i="1"/>
  <c r="F28" i="1" s="1"/>
  <c r="G28" i="1" s="1"/>
  <c r="B113" i="1"/>
  <c r="F23" i="1" s="1"/>
  <c r="G23" i="1" s="1"/>
  <c r="B101" i="1"/>
  <c r="F11" i="1" s="1"/>
  <c r="G11" i="1" s="1"/>
  <c r="B115" i="1"/>
  <c r="F25" i="1" s="1"/>
  <c r="G25" i="1" s="1"/>
  <c r="B97" i="1"/>
  <c r="B112" i="1"/>
  <c r="B129" i="1"/>
  <c r="B126" i="1"/>
  <c r="B95" i="1"/>
  <c r="F41" i="1" l="1"/>
  <c r="G41" i="1" s="1"/>
  <c r="F39" i="1"/>
  <c r="G39" i="1" s="1"/>
  <c r="F33" i="1"/>
  <c r="G33" i="1" s="1"/>
  <c r="F26" i="1"/>
  <c r="G26" i="1" s="1"/>
  <c r="L68" i="1" s="1"/>
  <c r="K68" i="1" s="1"/>
  <c r="F29" i="1"/>
  <c r="G29" i="1" s="1"/>
  <c r="L71" i="1" s="1"/>
  <c r="K71" i="1" s="1"/>
  <c r="F10" i="1"/>
  <c r="G10" i="1" s="1"/>
  <c r="F22" i="1"/>
  <c r="G22" i="1" s="1"/>
  <c r="L64" i="1" s="1"/>
  <c r="K64" i="1" s="1"/>
  <c r="F17" i="1"/>
  <c r="G17" i="1" s="1"/>
  <c r="F6" i="1"/>
  <c r="G6" i="1" s="1"/>
  <c r="L48" i="1" s="1"/>
  <c r="K48" i="1" s="1"/>
  <c r="F15" i="1"/>
  <c r="G15" i="1" s="1"/>
  <c r="L57" i="1" s="1"/>
  <c r="K57" i="1" s="1"/>
  <c r="F12" i="1"/>
  <c r="G12" i="1" s="1"/>
  <c r="L54" i="1" s="1"/>
  <c r="K54" i="1" s="1"/>
  <c r="F7" i="1"/>
  <c r="G7" i="1" s="1"/>
  <c r="L49" i="1" s="1"/>
  <c r="K49" i="1" s="1"/>
  <c r="F19" i="1"/>
  <c r="G19" i="1" s="1"/>
  <c r="L61" i="1" s="1"/>
  <c r="K61" i="1" s="1"/>
  <c r="F4" i="1"/>
  <c r="G4" i="1" s="1"/>
  <c r="L46" i="1" s="1"/>
  <c r="K46" i="1" s="1"/>
  <c r="F18" i="1"/>
  <c r="G18" i="1" s="1"/>
  <c r="F14" i="1"/>
  <c r="G14" i="1" s="1"/>
  <c r="F16" i="1"/>
  <c r="G16" i="1" s="1"/>
  <c r="L58" i="1" s="1"/>
  <c r="K58" i="1" s="1"/>
  <c r="F34" i="1"/>
  <c r="G34" i="1" s="1"/>
  <c r="L76" i="1" s="1"/>
  <c r="K76" i="1" s="1"/>
  <c r="F32" i="1"/>
  <c r="G32" i="1" s="1"/>
  <c r="L74" i="1" s="1"/>
  <c r="K74" i="1" s="1"/>
  <c r="F5" i="1"/>
  <c r="G5" i="1" s="1"/>
  <c r="L47" i="1" s="1"/>
  <c r="K47" i="1" s="1"/>
  <c r="F13" i="1"/>
  <c r="G13" i="1" s="1"/>
  <c r="L55" i="1" s="1"/>
  <c r="K55" i="1" s="1"/>
  <c r="F20" i="1"/>
  <c r="G20" i="1" s="1"/>
  <c r="L62" i="1" s="1"/>
  <c r="K62" i="1" s="1"/>
  <c r="F21" i="1"/>
  <c r="G21" i="1" s="1"/>
  <c r="L63" i="1" s="1"/>
  <c r="K63" i="1" s="1"/>
  <c r="F30" i="1"/>
  <c r="G30" i="1" s="1"/>
  <c r="L72" i="1" s="1"/>
  <c r="K72" i="1" s="1"/>
  <c r="F38" i="1"/>
  <c r="G38" i="1" s="1"/>
  <c r="L80" i="1" s="1"/>
  <c r="K80" i="1" s="1"/>
  <c r="F8" i="1"/>
  <c r="G8" i="1" s="1"/>
  <c r="L50" i="1" s="1"/>
  <c r="K50" i="1" s="1"/>
  <c r="F27" i="1"/>
  <c r="G27" i="1" s="1"/>
  <c r="L69" i="1" s="1"/>
  <c r="K69" i="1" s="1"/>
  <c r="F35" i="1"/>
  <c r="G35" i="1" s="1"/>
  <c r="F36" i="1"/>
  <c r="G36" i="1" s="1"/>
  <c r="F24" i="1"/>
  <c r="G24" i="1" s="1"/>
  <c r="L66" i="1" s="1"/>
  <c r="K66" i="1" s="1"/>
  <c r="F37" i="1"/>
  <c r="G37" i="1" s="1"/>
  <c r="L79" i="1" s="1"/>
  <c r="K79" i="1" s="1"/>
  <c r="F40" i="1"/>
  <c r="G40" i="1" s="1"/>
  <c r="L82" i="1" s="1"/>
  <c r="K82" i="1" s="1"/>
  <c r="L59" i="1"/>
  <c r="K59" i="1" s="1"/>
  <c r="L81" i="1"/>
  <c r="K81" i="1" s="1"/>
  <c r="L70" i="1"/>
  <c r="K70" i="1" s="1"/>
  <c r="L67" i="1"/>
  <c r="K67" i="1" s="1"/>
  <c r="L73" i="1"/>
  <c r="K73" i="1" s="1"/>
  <c r="L51" i="1"/>
  <c r="K51" i="1" s="1"/>
  <c r="L53" i="1"/>
  <c r="K53" i="1" s="1"/>
  <c r="L60" i="1"/>
  <c r="K60" i="1" s="1"/>
  <c r="L65" i="1"/>
  <c r="K65" i="1" s="1"/>
  <c r="L83" i="1"/>
  <c r="K83" i="1" s="1"/>
  <c r="L52" i="1"/>
  <c r="K52" i="1" s="1"/>
  <c r="L78" i="1"/>
  <c r="K78" i="1" s="1"/>
  <c r="L75" i="1"/>
  <c r="K75" i="1" s="1"/>
  <c r="L77" i="1"/>
  <c r="K77" i="1" s="1"/>
  <c r="L56" i="1"/>
  <c r="K56" i="1" s="1"/>
</calcChain>
</file>

<file path=xl/sharedStrings.xml><?xml version="1.0" encoding="utf-8"?>
<sst xmlns="http://schemas.openxmlformats.org/spreadsheetml/2006/main" count="22" uniqueCount="22">
  <si>
    <t>i</t>
  </si>
  <si>
    <t>A</t>
  </si>
  <si>
    <t>i^2</t>
  </si>
  <si>
    <t>A*i</t>
  </si>
  <si>
    <t>Trend</t>
  </si>
  <si>
    <t>Данные</t>
  </si>
  <si>
    <t>сорт испр</t>
  </si>
  <si>
    <t>испр</t>
  </si>
  <si>
    <t>Произв</t>
  </si>
  <si>
    <t>сорт Произ</t>
  </si>
  <si>
    <t>знак</t>
  </si>
  <si>
    <t>переходная</t>
  </si>
  <si>
    <t>Втор. Произв</t>
  </si>
  <si>
    <t>max втор. Произ</t>
  </si>
  <si>
    <t>b1</t>
  </si>
  <si>
    <t>k2</t>
  </si>
  <si>
    <t>Median</t>
  </si>
  <si>
    <t>Mid</t>
  </si>
  <si>
    <t>Прямая линеар.</t>
  </si>
  <si>
    <t>Обратная линеар.</t>
  </si>
  <si>
    <t>k1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</si>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</sst>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86372093028443E-2"/>
          <c:y val="4.3555554031301694E-2"/>
          <c:w val="0.93755711847756473"/>
          <c:h val="0.8224383614194799"/>
        </c:manualLayout>
      </c:layout>
      <c:lineChart>
        <c:grouping val="standard"/>
        <c:varyColors val="0"/>
        <c:ser>
          <c:idx val="0"/>
          <c:order val="0"/>
          <c:tx>
            <c:v>Производная сигнала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Лист1!$V$46:$V$83</c:f>
              <c:numCache>
                <c:formatCode>General</c:formatCode>
                <c:ptCount val="38"/>
                <c:pt idx="0">
                  <c:v>5550</c:v>
                </c:pt>
                <c:pt idx="1">
                  <c:v>438</c:v>
                </c:pt>
                <c:pt idx="2">
                  <c:v>587</c:v>
                </c:pt>
                <c:pt idx="3">
                  <c:v>4898</c:v>
                </c:pt>
                <c:pt idx="4">
                  <c:v>5315</c:v>
                </c:pt>
                <c:pt idx="5">
                  <c:v>4986</c:v>
                </c:pt>
                <c:pt idx="6">
                  <c:v>358</c:v>
                </c:pt>
                <c:pt idx="7">
                  <c:v>5250</c:v>
                </c:pt>
                <c:pt idx="8">
                  <c:v>479</c:v>
                </c:pt>
                <c:pt idx="9">
                  <c:v>367</c:v>
                </c:pt>
                <c:pt idx="10">
                  <c:v>5323</c:v>
                </c:pt>
                <c:pt idx="11">
                  <c:v>5812</c:v>
                </c:pt>
                <c:pt idx="12">
                  <c:v>282</c:v>
                </c:pt>
                <c:pt idx="13">
                  <c:v>803</c:v>
                </c:pt>
                <c:pt idx="14">
                  <c:v>5316</c:v>
                </c:pt>
                <c:pt idx="15">
                  <c:v>90</c:v>
                </c:pt>
                <c:pt idx="16">
                  <c:v>5873</c:v>
                </c:pt>
                <c:pt idx="17">
                  <c:v>345</c:v>
                </c:pt>
                <c:pt idx="18">
                  <c:v>5374</c:v>
                </c:pt>
                <c:pt idx="19">
                  <c:v>6486</c:v>
                </c:pt>
                <c:pt idx="20">
                  <c:v>6385</c:v>
                </c:pt>
                <c:pt idx="21">
                  <c:v>6581</c:v>
                </c:pt>
                <c:pt idx="22">
                  <c:v>6294</c:v>
                </c:pt>
                <c:pt idx="23">
                  <c:v>5847</c:v>
                </c:pt>
                <c:pt idx="24">
                  <c:v>264</c:v>
                </c:pt>
                <c:pt idx="25">
                  <c:v>989</c:v>
                </c:pt>
                <c:pt idx="26">
                  <c:v>5725</c:v>
                </c:pt>
                <c:pt idx="27">
                  <c:v>294</c:v>
                </c:pt>
                <c:pt idx="28">
                  <c:v>335</c:v>
                </c:pt>
                <c:pt idx="29">
                  <c:v>6241</c:v>
                </c:pt>
                <c:pt idx="30">
                  <c:v>5815</c:v>
                </c:pt>
                <c:pt idx="31">
                  <c:v>318</c:v>
                </c:pt>
                <c:pt idx="32">
                  <c:v>5702</c:v>
                </c:pt>
                <c:pt idx="33">
                  <c:v>33</c:v>
                </c:pt>
                <c:pt idx="34">
                  <c:v>299</c:v>
                </c:pt>
                <c:pt idx="35">
                  <c:v>6027</c:v>
                </c:pt>
                <c:pt idx="36">
                  <c:v>6527</c:v>
                </c:pt>
                <c:pt idx="37">
                  <c:v>1290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DB6-4B52-8539-7330B3B49409}"/>
            </c:ext>
          </c:extLst>
        </c:ser>
        <c:ser>
          <c:idx val="3"/>
          <c:order val="1"/>
          <c:tx>
            <c:v>Сигнал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Лист1!$E$4:$E$42</c:f>
              <c:numCache>
                <c:formatCode>General</c:formatCode>
                <c:ptCount val="39"/>
                <c:pt idx="0">
                  <c:v>3784</c:v>
                </c:pt>
                <c:pt idx="1">
                  <c:v>9334</c:v>
                </c:pt>
                <c:pt idx="2">
                  <c:v>8896</c:v>
                </c:pt>
                <c:pt idx="3">
                  <c:v>9483</c:v>
                </c:pt>
                <c:pt idx="4">
                  <c:v>4585</c:v>
                </c:pt>
                <c:pt idx="5">
                  <c:v>9900</c:v>
                </c:pt>
                <c:pt idx="6">
                  <c:v>4914</c:v>
                </c:pt>
                <c:pt idx="7">
                  <c:v>5272</c:v>
                </c:pt>
                <c:pt idx="8">
                  <c:v>10522</c:v>
                </c:pt>
                <c:pt idx="9">
                  <c:v>11001</c:v>
                </c:pt>
                <c:pt idx="10">
                  <c:v>11368</c:v>
                </c:pt>
                <c:pt idx="11">
                  <c:v>6045</c:v>
                </c:pt>
                <c:pt idx="12">
                  <c:v>11857</c:v>
                </c:pt>
                <c:pt idx="13">
                  <c:v>11575</c:v>
                </c:pt>
                <c:pt idx="14">
                  <c:v>12378</c:v>
                </c:pt>
                <c:pt idx="15">
                  <c:v>7062</c:v>
                </c:pt>
                <c:pt idx="16">
                  <c:v>7152</c:v>
                </c:pt>
                <c:pt idx="17">
                  <c:v>13025</c:v>
                </c:pt>
                <c:pt idx="18">
                  <c:v>13370</c:v>
                </c:pt>
                <c:pt idx="19">
                  <c:v>7996</c:v>
                </c:pt>
                <c:pt idx="20">
                  <c:v>14482</c:v>
                </c:pt>
                <c:pt idx="21">
                  <c:v>8097</c:v>
                </c:pt>
                <c:pt idx="22">
                  <c:v>14678</c:v>
                </c:pt>
                <c:pt idx="23">
                  <c:v>8384</c:v>
                </c:pt>
                <c:pt idx="24">
                  <c:v>14231</c:v>
                </c:pt>
                <c:pt idx="25">
                  <c:v>14495</c:v>
                </c:pt>
                <c:pt idx="26">
                  <c:v>15484</c:v>
                </c:pt>
                <c:pt idx="27">
                  <c:v>9759</c:v>
                </c:pt>
                <c:pt idx="28">
                  <c:v>10053</c:v>
                </c:pt>
                <c:pt idx="29">
                  <c:v>9718</c:v>
                </c:pt>
                <c:pt idx="30">
                  <c:v>15959</c:v>
                </c:pt>
                <c:pt idx="31">
                  <c:v>10144</c:v>
                </c:pt>
                <c:pt idx="32">
                  <c:v>10462</c:v>
                </c:pt>
                <c:pt idx="33">
                  <c:v>16164</c:v>
                </c:pt>
                <c:pt idx="34">
                  <c:v>16197</c:v>
                </c:pt>
                <c:pt idx="35">
                  <c:v>16496</c:v>
                </c:pt>
                <c:pt idx="36">
                  <c:v>10469</c:v>
                </c:pt>
                <c:pt idx="37">
                  <c:v>16996</c:v>
                </c:pt>
                <c:pt idx="38">
                  <c:v>15706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064A-413E-A84A-DAA6D4A6CEAE}"/>
            </c:ext>
          </c:extLst>
        </c:ser>
        <c:ser>
          <c:idx val="7"/>
          <c:order val="2"/>
          <c:tx>
            <c:v>Усредненный тренд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Лист1!$B$94:$B$132</c:f>
              <c:numCache>
                <c:formatCode>General</c:formatCode>
                <c:ptCount val="39"/>
                <c:pt idx="0">
                  <c:v>3309.4984857941954</c:v>
                </c:pt>
                <c:pt idx="1">
                  <c:v>3313.9608720528308</c:v>
                </c:pt>
                <c:pt idx="2">
                  <c:v>3318.4232583114663</c:v>
                </c:pt>
                <c:pt idx="3">
                  <c:v>3322.8856445701012</c:v>
                </c:pt>
                <c:pt idx="4">
                  <c:v>3327.3480308287362</c:v>
                </c:pt>
                <c:pt idx="5">
                  <c:v>3331.8104170873721</c:v>
                </c:pt>
                <c:pt idx="6">
                  <c:v>3336.2728033460071</c:v>
                </c:pt>
                <c:pt idx="7">
                  <c:v>3340.7351896046421</c:v>
                </c:pt>
                <c:pt idx="8">
                  <c:v>3345.1975758632775</c:v>
                </c:pt>
                <c:pt idx="9">
                  <c:v>3349.6599621219129</c:v>
                </c:pt>
                <c:pt idx="10">
                  <c:v>3354.1223483805479</c:v>
                </c:pt>
                <c:pt idx="11">
                  <c:v>3358.5847346391834</c:v>
                </c:pt>
                <c:pt idx="12">
                  <c:v>3363.0471208978183</c:v>
                </c:pt>
                <c:pt idx="13">
                  <c:v>3367.5095071564538</c:v>
                </c:pt>
                <c:pt idx="14">
                  <c:v>3371.9718934150887</c:v>
                </c:pt>
                <c:pt idx="15">
                  <c:v>3376.4342796737237</c:v>
                </c:pt>
                <c:pt idx="16">
                  <c:v>3380.8966659323596</c:v>
                </c:pt>
                <c:pt idx="17">
                  <c:v>3385.3590521909946</c:v>
                </c:pt>
                <c:pt idx="18">
                  <c:v>3389.8214384496296</c:v>
                </c:pt>
                <c:pt idx="19">
                  <c:v>3394.283824708265</c:v>
                </c:pt>
                <c:pt idx="20">
                  <c:v>3398.7462109669004</c:v>
                </c:pt>
                <c:pt idx="21">
                  <c:v>3403.2085972255354</c:v>
                </c:pt>
                <c:pt idx="22">
                  <c:v>3407.6709834841704</c:v>
                </c:pt>
                <c:pt idx="23">
                  <c:v>3412.1333697428058</c:v>
                </c:pt>
                <c:pt idx="24">
                  <c:v>3416.5957560014413</c:v>
                </c:pt>
                <c:pt idx="25">
                  <c:v>3421.0581422600762</c:v>
                </c:pt>
                <c:pt idx="26">
                  <c:v>3425.5205285187112</c:v>
                </c:pt>
                <c:pt idx="27">
                  <c:v>3429.9829147773471</c:v>
                </c:pt>
                <c:pt idx="28">
                  <c:v>3434.4453010359821</c:v>
                </c:pt>
                <c:pt idx="29">
                  <c:v>3438.9076872946171</c:v>
                </c:pt>
                <c:pt idx="30">
                  <c:v>3443.3700735532525</c:v>
                </c:pt>
                <c:pt idx="31">
                  <c:v>3447.8324598118879</c:v>
                </c:pt>
                <c:pt idx="32">
                  <c:v>3452.2948460705229</c:v>
                </c:pt>
                <c:pt idx="33">
                  <c:v>3456.7572323291579</c:v>
                </c:pt>
                <c:pt idx="34">
                  <c:v>3461.2196185877933</c:v>
                </c:pt>
                <c:pt idx="35">
                  <c:v>3465.6820048464288</c:v>
                </c:pt>
                <c:pt idx="36">
                  <c:v>3470.1443911050637</c:v>
                </c:pt>
                <c:pt idx="37">
                  <c:v>3474.6067773636992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8B-4E31-8F44-03D094DAAD6B}"/>
            </c:ext>
          </c:extLst>
        </c:ser>
        <c:ser>
          <c:idx val="1"/>
          <c:order val="4"/>
          <c:tx>
            <c:v>Обратная линеаризация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Лист1!$G$4:$G$42</c:f>
              <c:numCache>
                <c:formatCode>General</c:formatCode>
                <c:ptCount val="39"/>
                <c:pt idx="0">
                  <c:v>5384.8917084304958</c:v>
                </c:pt>
                <c:pt idx="1">
                  <c:v>272.89170843049624</c:v>
                </c:pt>
                <c:pt idx="2">
                  <c:v>421.89170843049624</c:v>
                </c:pt>
                <c:pt idx="3">
                  <c:v>4732.8917084304958</c:v>
                </c:pt>
                <c:pt idx="4">
                  <c:v>5149.8917084304958</c:v>
                </c:pt>
                <c:pt idx="5">
                  <c:v>4820.8917084304958</c:v>
                </c:pt>
                <c:pt idx="6">
                  <c:v>192.89170843049624</c:v>
                </c:pt>
                <c:pt idx="7">
                  <c:v>5084.8917084304958</c:v>
                </c:pt>
                <c:pt idx="8">
                  <c:v>313.89170843049624</c:v>
                </c:pt>
                <c:pt idx="9">
                  <c:v>201.89170843049624</c:v>
                </c:pt>
                <c:pt idx="10">
                  <c:v>5157.8917084304958</c:v>
                </c:pt>
                <c:pt idx="11">
                  <c:v>5646.8917084304967</c:v>
                </c:pt>
                <c:pt idx="12">
                  <c:v>116.89170843049624</c:v>
                </c:pt>
                <c:pt idx="13">
                  <c:v>637.89170843049624</c:v>
                </c:pt>
                <c:pt idx="14">
                  <c:v>5150.8917084304958</c:v>
                </c:pt>
                <c:pt idx="15">
                  <c:v>-75.108291569503763</c:v>
                </c:pt>
                <c:pt idx="16">
                  <c:v>5707.8917084304958</c:v>
                </c:pt>
                <c:pt idx="17">
                  <c:v>179.89170843049624</c:v>
                </c:pt>
                <c:pt idx="18">
                  <c:v>5208.8917084304958</c:v>
                </c:pt>
                <c:pt idx="19">
                  <c:v>6320.8917084304967</c:v>
                </c:pt>
                <c:pt idx="20">
                  <c:v>6219.8917084304958</c:v>
                </c:pt>
                <c:pt idx="21">
                  <c:v>6415.8917084304958</c:v>
                </c:pt>
                <c:pt idx="22">
                  <c:v>6128.8917084304958</c:v>
                </c:pt>
                <c:pt idx="23">
                  <c:v>5681.8917084304958</c:v>
                </c:pt>
                <c:pt idx="24">
                  <c:v>98.891708430496237</c:v>
                </c:pt>
                <c:pt idx="25">
                  <c:v>823.89170843049624</c:v>
                </c:pt>
                <c:pt idx="26">
                  <c:v>5559.8917084304958</c:v>
                </c:pt>
                <c:pt idx="27">
                  <c:v>128.89170843049624</c:v>
                </c:pt>
                <c:pt idx="28">
                  <c:v>169.89170843049624</c:v>
                </c:pt>
                <c:pt idx="29">
                  <c:v>6075.8917084304958</c:v>
                </c:pt>
                <c:pt idx="30">
                  <c:v>5649.8917084304967</c:v>
                </c:pt>
                <c:pt idx="31">
                  <c:v>152.89170843049624</c:v>
                </c:pt>
                <c:pt idx="32">
                  <c:v>5536.8917084304958</c:v>
                </c:pt>
                <c:pt idx="33">
                  <c:v>-132.10829156950376</c:v>
                </c:pt>
                <c:pt idx="34">
                  <c:v>133.89170843049624</c:v>
                </c:pt>
                <c:pt idx="35">
                  <c:v>5861.8917084304958</c:v>
                </c:pt>
                <c:pt idx="36">
                  <c:v>6361.8917084304958</c:v>
                </c:pt>
                <c:pt idx="37">
                  <c:v>1124.8917084304962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8B-4E31-8F44-03D094DAA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430720"/>
        <c:axId val="1963611376"/>
        <c:extLst>
          <c:ext xmlns:c15="http://schemas.microsoft.com/office/drawing/2012/chart" uri="{02D57815-91ED-43cb-92C2-25804820EDAC}">
            <c15:filteredLineSeries>
              <c15:ser>
                <c:idx val="8"/>
                <c:order val="3"/>
                <c:tx>
                  <c:v>Прямая линеаризация</c:v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Лист1!$F$4:$F$42</c15:sqref>
                        </c15:formulaRef>
                      </c:ext>
                    </c:extLst>
                    <c:numCache>
                      <c:formatCode>General</c:formatCode>
                      <c:ptCount val="39"/>
                      <c:pt idx="0">
                        <c:v>5550</c:v>
                      </c:pt>
                      <c:pt idx="1">
                        <c:v>433.53761374136457</c:v>
                      </c:pt>
                      <c:pt idx="2">
                        <c:v>578.07522748272913</c:v>
                      </c:pt>
                      <c:pt idx="3">
                        <c:v>4884.6128412240942</c:v>
                      </c:pt>
                      <c:pt idx="4">
                        <c:v>5297.1504549654592</c:v>
                      </c:pt>
                      <c:pt idx="5">
                        <c:v>4963.6880687068233</c:v>
                      </c:pt>
                      <c:pt idx="6">
                        <c:v>331.22568244818831</c:v>
                      </c:pt>
                      <c:pt idx="7">
                        <c:v>5218.7632961895533</c:v>
                      </c:pt>
                      <c:pt idx="8">
                        <c:v>443.3009099309179</c:v>
                      </c:pt>
                      <c:pt idx="9">
                        <c:v>326.83852367228246</c:v>
                      </c:pt>
                      <c:pt idx="10">
                        <c:v>5278.3761374136475</c:v>
                      </c:pt>
                      <c:pt idx="11">
                        <c:v>5762.9137511550125</c:v>
                      </c:pt>
                      <c:pt idx="12">
                        <c:v>228.45136489637707</c:v>
                      </c:pt>
                      <c:pt idx="13">
                        <c:v>744.98897863774164</c:v>
                      </c:pt>
                      <c:pt idx="14">
                        <c:v>5253.5265923791067</c:v>
                      </c:pt>
                      <c:pt idx="15">
                        <c:v>23.064206120471681</c:v>
                      </c:pt>
                      <c:pt idx="16">
                        <c:v>5801.6018198618358</c:v>
                      </c:pt>
                      <c:pt idx="17">
                        <c:v>269.13943360320081</c:v>
                      </c:pt>
                      <c:pt idx="18">
                        <c:v>5293.6770473445658</c:v>
                      </c:pt>
                      <c:pt idx="19">
                        <c:v>6401.2146610859309</c:v>
                      </c:pt>
                      <c:pt idx="20">
                        <c:v>6295.752274827295</c:v>
                      </c:pt>
                      <c:pt idx="21">
                        <c:v>6487.28988856866</c:v>
                      </c:pt>
                      <c:pt idx="22">
                        <c:v>6195.827502310025</c:v>
                      </c:pt>
                      <c:pt idx="23">
                        <c:v>5744.3651160513891</c:v>
                      </c:pt>
                      <c:pt idx="24">
                        <c:v>156.90272979275414</c:v>
                      </c:pt>
                      <c:pt idx="25">
                        <c:v>877.44034353411917</c:v>
                      </c:pt>
                      <c:pt idx="26">
                        <c:v>5608.9779572754842</c:v>
                      </c:pt>
                      <c:pt idx="27">
                        <c:v>173.5155710168483</c:v>
                      </c:pt>
                      <c:pt idx="28">
                        <c:v>210.05318475821332</c:v>
                      </c:pt>
                      <c:pt idx="29">
                        <c:v>6111.5907984995783</c:v>
                      </c:pt>
                      <c:pt idx="30">
                        <c:v>5681.1284122409434</c:v>
                      </c:pt>
                      <c:pt idx="31">
                        <c:v>179.66602598230747</c:v>
                      </c:pt>
                      <c:pt idx="32">
                        <c:v>5559.2036397236725</c:v>
                      </c:pt>
                      <c:pt idx="33">
                        <c:v>-114.25874653496248</c:v>
                      </c:pt>
                      <c:pt idx="34">
                        <c:v>147.27886720640208</c:v>
                      </c:pt>
                      <c:pt idx="35">
                        <c:v>5870.8164809477666</c:v>
                      </c:pt>
                      <c:pt idx="36">
                        <c:v>6366.3540946891317</c:v>
                      </c:pt>
                      <c:pt idx="37">
                        <c:v>1124.8917084304962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78B-4E31-8F44-03D094DAAD6B}"/>
                  </c:ext>
                </c:extLst>
              </c15:ser>
            </c15:filteredLineSeries>
          </c:ext>
        </c:extLst>
      </c:lineChart>
      <c:catAx>
        <c:axId val="1702430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611376"/>
        <c:crosses val="autoZero"/>
        <c:auto val="1"/>
        <c:lblAlgn val="ctr"/>
        <c:lblOffset val="100"/>
        <c:noMultiLvlLbl val="0"/>
      </c:catAx>
      <c:valAx>
        <c:axId val="19636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243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Упорядоченные</a:t>
            </a:r>
            <a:r>
              <a:rPr lang="ru-RU" baseline="0"/>
              <a:t> производные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Первая производная упорядоченного линеаризованного сигнала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Лист1!$N$46:$N$84</c:f>
              <c:numCache>
                <c:formatCode>General</c:formatCode>
                <c:ptCount val="39"/>
                <c:pt idx="0">
                  <c:v>6829.319435865018</c:v>
                </c:pt>
                <c:pt idx="1">
                  <c:v>6616.319435865018</c:v>
                </c:pt>
                <c:pt idx="2">
                  <c:v>6438.319435865018</c:v>
                </c:pt>
                <c:pt idx="3">
                  <c:v>6384.319435865018</c:v>
                </c:pt>
                <c:pt idx="4">
                  <c:v>6293.319435865018</c:v>
                </c:pt>
                <c:pt idx="5">
                  <c:v>6261.319435865018</c:v>
                </c:pt>
                <c:pt idx="6">
                  <c:v>6124.319435865018</c:v>
                </c:pt>
                <c:pt idx="7">
                  <c:v>5946.319435865018</c:v>
                </c:pt>
                <c:pt idx="8">
                  <c:v>5923.319435865018</c:v>
                </c:pt>
                <c:pt idx="9">
                  <c:v>5852.319435865018</c:v>
                </c:pt>
                <c:pt idx="10">
                  <c:v>5838.319435865018</c:v>
                </c:pt>
                <c:pt idx="11">
                  <c:v>5805.319435865018</c:v>
                </c:pt>
                <c:pt idx="12">
                  <c:v>5611.319435865018</c:v>
                </c:pt>
                <c:pt idx="13">
                  <c:v>5370.319435865018</c:v>
                </c:pt>
                <c:pt idx="14">
                  <c:v>5090.319435865018</c:v>
                </c:pt>
                <c:pt idx="15">
                  <c:v>5015.319435865018</c:v>
                </c:pt>
                <c:pt idx="16">
                  <c:v>1445.319435865018</c:v>
                </c:pt>
                <c:pt idx="17">
                  <c:v>1079.319435865018</c:v>
                </c:pt>
                <c:pt idx="18">
                  <c:v>924.31943586501802</c:v>
                </c:pt>
                <c:pt idx="19">
                  <c:v>924.31943586501802</c:v>
                </c:pt>
                <c:pt idx="20">
                  <c:v>845.31943586501802</c:v>
                </c:pt>
                <c:pt idx="21">
                  <c:v>791.31943586501802</c:v>
                </c:pt>
                <c:pt idx="22">
                  <c:v>690.31943586501802</c:v>
                </c:pt>
                <c:pt idx="23">
                  <c:v>662.31943586501802</c:v>
                </c:pt>
                <c:pt idx="24">
                  <c:v>634.31943586501802</c:v>
                </c:pt>
                <c:pt idx="25">
                  <c:v>592.31943586501802</c:v>
                </c:pt>
                <c:pt idx="26">
                  <c:v>561.31943586501802</c:v>
                </c:pt>
                <c:pt idx="27">
                  <c:v>540.31943586501802</c:v>
                </c:pt>
                <c:pt idx="28">
                  <c:v>526.31943586501802</c:v>
                </c:pt>
                <c:pt idx="29">
                  <c:v>516.31943586501802</c:v>
                </c:pt>
                <c:pt idx="30">
                  <c:v>500.31943586501802</c:v>
                </c:pt>
                <c:pt idx="31">
                  <c:v>491.31943586501802</c:v>
                </c:pt>
                <c:pt idx="32">
                  <c:v>488.31943586501802</c:v>
                </c:pt>
                <c:pt idx="33">
                  <c:v>472.31943586501802</c:v>
                </c:pt>
                <c:pt idx="34">
                  <c:v>451.31943586501802</c:v>
                </c:pt>
                <c:pt idx="35">
                  <c:v>444.31943586501802</c:v>
                </c:pt>
                <c:pt idx="36">
                  <c:v>428.31943586501802</c:v>
                </c:pt>
                <c:pt idx="37">
                  <c:v>372.31943586501802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A0-4AD0-820E-FC81707FA95C}"/>
            </c:ext>
          </c:extLst>
        </c:ser>
        <c:ser>
          <c:idx val="0"/>
          <c:order val="1"/>
          <c:tx>
            <c:v>Вторая производная упорядоченного линеаризованного сигнала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Лист1!$P$46:$P$82</c:f>
              <c:numCache>
                <c:formatCode>General</c:formatCode>
                <c:ptCount val="37"/>
                <c:pt idx="0">
                  <c:v>213</c:v>
                </c:pt>
                <c:pt idx="1">
                  <c:v>178</c:v>
                </c:pt>
                <c:pt idx="2">
                  <c:v>54</c:v>
                </c:pt>
                <c:pt idx="3">
                  <c:v>91</c:v>
                </c:pt>
                <c:pt idx="4">
                  <c:v>32</c:v>
                </c:pt>
                <c:pt idx="5">
                  <c:v>137</c:v>
                </c:pt>
                <c:pt idx="6">
                  <c:v>178</c:v>
                </c:pt>
                <c:pt idx="7">
                  <c:v>23</c:v>
                </c:pt>
                <c:pt idx="8">
                  <c:v>71</c:v>
                </c:pt>
                <c:pt idx="9">
                  <c:v>14</c:v>
                </c:pt>
                <c:pt idx="10">
                  <c:v>33</c:v>
                </c:pt>
                <c:pt idx="11">
                  <c:v>194</c:v>
                </c:pt>
                <c:pt idx="12">
                  <c:v>241</c:v>
                </c:pt>
                <c:pt idx="13">
                  <c:v>280</c:v>
                </c:pt>
                <c:pt idx="14">
                  <c:v>75</c:v>
                </c:pt>
                <c:pt idx="15">
                  <c:v>3570</c:v>
                </c:pt>
                <c:pt idx="16">
                  <c:v>366</c:v>
                </c:pt>
                <c:pt idx="17">
                  <c:v>155</c:v>
                </c:pt>
                <c:pt idx="18">
                  <c:v>0</c:v>
                </c:pt>
                <c:pt idx="19">
                  <c:v>79</c:v>
                </c:pt>
                <c:pt idx="20">
                  <c:v>54</c:v>
                </c:pt>
                <c:pt idx="21">
                  <c:v>101</c:v>
                </c:pt>
                <c:pt idx="22">
                  <c:v>28</c:v>
                </c:pt>
                <c:pt idx="23">
                  <c:v>28</c:v>
                </c:pt>
                <c:pt idx="24">
                  <c:v>42</c:v>
                </c:pt>
                <c:pt idx="25">
                  <c:v>31</c:v>
                </c:pt>
                <c:pt idx="26">
                  <c:v>21</c:v>
                </c:pt>
                <c:pt idx="27">
                  <c:v>14</c:v>
                </c:pt>
                <c:pt idx="28">
                  <c:v>10</c:v>
                </c:pt>
                <c:pt idx="29">
                  <c:v>16</c:v>
                </c:pt>
                <c:pt idx="30">
                  <c:v>9</c:v>
                </c:pt>
                <c:pt idx="31">
                  <c:v>3</c:v>
                </c:pt>
                <c:pt idx="32">
                  <c:v>16</c:v>
                </c:pt>
                <c:pt idx="33">
                  <c:v>21</c:v>
                </c:pt>
                <c:pt idx="34">
                  <c:v>7</c:v>
                </c:pt>
                <c:pt idx="35">
                  <c:v>16</c:v>
                </c:pt>
                <c:pt idx="36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AA-472E-9F48-91AACAA1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330176"/>
        <c:axId val="1963614352"/>
      </c:lineChart>
      <c:catAx>
        <c:axId val="1703330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614352"/>
        <c:crosses val="autoZero"/>
        <c:auto val="1"/>
        <c:lblAlgn val="ctr"/>
        <c:lblOffset val="100"/>
        <c:noMultiLvlLbl val="0"/>
      </c:catAx>
      <c:valAx>
        <c:axId val="19636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333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Двоичное</a:t>
            </a:r>
            <a:r>
              <a:rPr lang="ru-RU" baseline="0"/>
              <a:t> представление сигнала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Лист1!$D$4:$D$42</c:f>
              <c:numCache>
                <c:formatCode>General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4-42F8-B661-5962C0280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515120"/>
        <c:axId val="1920785584"/>
      </c:lineChart>
      <c:catAx>
        <c:axId val="1694515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0785584"/>
        <c:crosses val="autoZero"/>
        <c:auto val="1"/>
        <c:lblAlgn val="ctr"/>
        <c:lblOffset val="100"/>
        <c:noMultiLvlLbl val="0"/>
      </c:catAx>
      <c:valAx>
        <c:axId val="19207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451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Линеаризованная производная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Лист1!$L$46:$L$84</c:f>
              <c:numCache>
                <c:formatCode>General</c:formatCode>
                <c:ptCount val="39"/>
                <c:pt idx="0">
                  <c:v>5384.8917084304958</c:v>
                </c:pt>
                <c:pt idx="1">
                  <c:v>272.89170843049624</c:v>
                </c:pt>
                <c:pt idx="2">
                  <c:v>421.89170843049624</c:v>
                </c:pt>
                <c:pt idx="3">
                  <c:v>4732.8917084304958</c:v>
                </c:pt>
                <c:pt idx="4">
                  <c:v>5149.8917084304958</c:v>
                </c:pt>
                <c:pt idx="5">
                  <c:v>4820.8917084304958</c:v>
                </c:pt>
                <c:pt idx="6">
                  <c:v>192.89170843049624</c:v>
                </c:pt>
                <c:pt idx="7">
                  <c:v>5084.8917084304958</c:v>
                </c:pt>
                <c:pt idx="8">
                  <c:v>313.89170843049624</c:v>
                </c:pt>
                <c:pt idx="9">
                  <c:v>201.89170843049624</c:v>
                </c:pt>
                <c:pt idx="10">
                  <c:v>5157.8917084304958</c:v>
                </c:pt>
                <c:pt idx="11">
                  <c:v>5646.8917084304967</c:v>
                </c:pt>
                <c:pt idx="12">
                  <c:v>116.89170843049624</c:v>
                </c:pt>
                <c:pt idx="13">
                  <c:v>637.89170843049624</c:v>
                </c:pt>
                <c:pt idx="14">
                  <c:v>5150.8917084304958</c:v>
                </c:pt>
                <c:pt idx="15">
                  <c:v>-75.108291569503763</c:v>
                </c:pt>
                <c:pt idx="16">
                  <c:v>5707.8917084304958</c:v>
                </c:pt>
                <c:pt idx="17">
                  <c:v>179.89170843049624</c:v>
                </c:pt>
                <c:pt idx="18">
                  <c:v>5208.8917084304958</c:v>
                </c:pt>
                <c:pt idx="19">
                  <c:v>6320.8917084304967</c:v>
                </c:pt>
                <c:pt idx="20">
                  <c:v>6219.8917084304958</c:v>
                </c:pt>
                <c:pt idx="21">
                  <c:v>6415.8917084304958</c:v>
                </c:pt>
                <c:pt idx="22">
                  <c:v>6128.8917084304958</c:v>
                </c:pt>
                <c:pt idx="23">
                  <c:v>5681.8917084304958</c:v>
                </c:pt>
                <c:pt idx="24">
                  <c:v>98.891708430496237</c:v>
                </c:pt>
                <c:pt idx="25">
                  <c:v>823.89170843049624</c:v>
                </c:pt>
                <c:pt idx="26">
                  <c:v>5559.8917084304958</c:v>
                </c:pt>
                <c:pt idx="27">
                  <c:v>128.89170843049624</c:v>
                </c:pt>
                <c:pt idx="28">
                  <c:v>169.89170843049624</c:v>
                </c:pt>
                <c:pt idx="29">
                  <c:v>6075.8917084304958</c:v>
                </c:pt>
                <c:pt idx="30">
                  <c:v>5649.8917084304967</c:v>
                </c:pt>
                <c:pt idx="31">
                  <c:v>152.89170843049624</c:v>
                </c:pt>
                <c:pt idx="32">
                  <c:v>5536.8917084304958</c:v>
                </c:pt>
                <c:pt idx="33">
                  <c:v>-132.10829156950376</c:v>
                </c:pt>
                <c:pt idx="34">
                  <c:v>133.89170843049624</c:v>
                </c:pt>
                <c:pt idx="35">
                  <c:v>5861.8917084304958</c:v>
                </c:pt>
                <c:pt idx="36">
                  <c:v>6361.8917084304958</c:v>
                </c:pt>
                <c:pt idx="37">
                  <c:v>1124.8917084304962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2-421D-9285-70CCCF9EAC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Лист1!$X$46:$X$83</c:f>
              <c:numCache>
                <c:formatCode>General</c:formatCode>
                <c:ptCount val="38"/>
                <c:pt idx="0">
                  <c:v>5550</c:v>
                </c:pt>
                <c:pt idx="1">
                  <c:v>438</c:v>
                </c:pt>
                <c:pt idx="2">
                  <c:v>587</c:v>
                </c:pt>
                <c:pt idx="3">
                  <c:v>4898</c:v>
                </c:pt>
                <c:pt idx="4">
                  <c:v>5315</c:v>
                </c:pt>
                <c:pt idx="5">
                  <c:v>4986</c:v>
                </c:pt>
                <c:pt idx="6">
                  <c:v>358</c:v>
                </c:pt>
                <c:pt idx="7">
                  <c:v>5250</c:v>
                </c:pt>
                <c:pt idx="8">
                  <c:v>479</c:v>
                </c:pt>
                <c:pt idx="9">
                  <c:v>367</c:v>
                </c:pt>
                <c:pt idx="10">
                  <c:v>5323</c:v>
                </c:pt>
                <c:pt idx="11">
                  <c:v>5812</c:v>
                </c:pt>
                <c:pt idx="12">
                  <c:v>282</c:v>
                </c:pt>
                <c:pt idx="13">
                  <c:v>803</c:v>
                </c:pt>
                <c:pt idx="14">
                  <c:v>5316</c:v>
                </c:pt>
                <c:pt idx="15">
                  <c:v>90</c:v>
                </c:pt>
                <c:pt idx="16">
                  <c:v>5873</c:v>
                </c:pt>
                <c:pt idx="17">
                  <c:v>345</c:v>
                </c:pt>
                <c:pt idx="18">
                  <c:v>5374</c:v>
                </c:pt>
                <c:pt idx="19">
                  <c:v>6486</c:v>
                </c:pt>
                <c:pt idx="20">
                  <c:v>6385</c:v>
                </c:pt>
                <c:pt idx="21">
                  <c:v>6581</c:v>
                </c:pt>
                <c:pt idx="22">
                  <c:v>6294</c:v>
                </c:pt>
                <c:pt idx="23">
                  <c:v>5847</c:v>
                </c:pt>
                <c:pt idx="24">
                  <c:v>264</c:v>
                </c:pt>
                <c:pt idx="25">
                  <c:v>989</c:v>
                </c:pt>
                <c:pt idx="26">
                  <c:v>5725</c:v>
                </c:pt>
                <c:pt idx="27">
                  <c:v>294</c:v>
                </c:pt>
                <c:pt idx="28">
                  <c:v>335</c:v>
                </c:pt>
                <c:pt idx="29">
                  <c:v>6241</c:v>
                </c:pt>
                <c:pt idx="30">
                  <c:v>5815</c:v>
                </c:pt>
                <c:pt idx="31">
                  <c:v>318</c:v>
                </c:pt>
                <c:pt idx="32">
                  <c:v>5702</c:v>
                </c:pt>
                <c:pt idx="33">
                  <c:v>33</c:v>
                </c:pt>
                <c:pt idx="34">
                  <c:v>299</c:v>
                </c:pt>
                <c:pt idx="35">
                  <c:v>6027</c:v>
                </c:pt>
                <c:pt idx="36">
                  <c:v>6527</c:v>
                </c:pt>
                <c:pt idx="37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4-4FF2-BDDC-9490AB511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015904"/>
        <c:axId val="1963604432"/>
      </c:lineChart>
      <c:catAx>
        <c:axId val="1617015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604432"/>
        <c:crosses val="autoZero"/>
        <c:auto val="1"/>
        <c:lblAlgn val="ctr"/>
        <c:lblOffset val="100"/>
        <c:noMultiLvlLbl val="0"/>
      </c:catAx>
      <c:valAx>
        <c:axId val="19636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701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Приведенная производная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Лист1!$K$46:$K$83</c:f>
              <c:numCache>
                <c:formatCode>General</c:formatCode>
                <c:ptCount val="3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E-4A3E-871E-33F71527A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657231"/>
        <c:axId val="1704175647"/>
      </c:lineChart>
      <c:catAx>
        <c:axId val="184765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4175647"/>
        <c:crosses val="autoZero"/>
        <c:auto val="1"/>
        <c:lblAlgn val="ctr"/>
        <c:lblOffset val="100"/>
        <c:noMultiLvlLbl val="0"/>
      </c:catAx>
      <c:valAx>
        <c:axId val="17041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765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Квадрат второй производной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Лист1!$Q$46:$Q$82</c:f>
              <c:numCache>
                <c:formatCode>General</c:formatCode>
                <c:ptCount val="37"/>
                <c:pt idx="0">
                  <c:v>45369</c:v>
                </c:pt>
                <c:pt idx="1">
                  <c:v>31684</c:v>
                </c:pt>
                <c:pt idx="2">
                  <c:v>2916</c:v>
                </c:pt>
                <c:pt idx="3">
                  <c:v>8281</c:v>
                </c:pt>
                <c:pt idx="4">
                  <c:v>1024</c:v>
                </c:pt>
                <c:pt idx="5">
                  <c:v>18769</c:v>
                </c:pt>
                <c:pt idx="6">
                  <c:v>31684</c:v>
                </c:pt>
                <c:pt idx="7">
                  <c:v>529</c:v>
                </c:pt>
                <c:pt idx="8">
                  <c:v>5041</c:v>
                </c:pt>
                <c:pt idx="9">
                  <c:v>196</c:v>
                </c:pt>
                <c:pt idx="10">
                  <c:v>1089</c:v>
                </c:pt>
                <c:pt idx="11">
                  <c:v>37636</c:v>
                </c:pt>
                <c:pt idx="12">
                  <c:v>58081</c:v>
                </c:pt>
                <c:pt idx="13">
                  <c:v>78400</c:v>
                </c:pt>
                <c:pt idx="14">
                  <c:v>5625</c:v>
                </c:pt>
                <c:pt idx="15">
                  <c:v>12744900</c:v>
                </c:pt>
                <c:pt idx="16">
                  <c:v>133956</c:v>
                </c:pt>
                <c:pt idx="17">
                  <c:v>24025</c:v>
                </c:pt>
                <c:pt idx="18">
                  <c:v>0</c:v>
                </c:pt>
                <c:pt idx="19">
                  <c:v>6241</c:v>
                </c:pt>
                <c:pt idx="20">
                  <c:v>2916</c:v>
                </c:pt>
                <c:pt idx="21">
                  <c:v>10201</c:v>
                </c:pt>
                <c:pt idx="22">
                  <c:v>784</c:v>
                </c:pt>
                <c:pt idx="23">
                  <c:v>784</c:v>
                </c:pt>
                <c:pt idx="24">
                  <c:v>1764</c:v>
                </c:pt>
                <c:pt idx="25">
                  <c:v>961</c:v>
                </c:pt>
                <c:pt idx="26">
                  <c:v>441</c:v>
                </c:pt>
                <c:pt idx="27">
                  <c:v>196</c:v>
                </c:pt>
                <c:pt idx="28">
                  <c:v>100</c:v>
                </c:pt>
                <c:pt idx="29">
                  <c:v>256</c:v>
                </c:pt>
                <c:pt idx="30">
                  <c:v>81</c:v>
                </c:pt>
                <c:pt idx="31">
                  <c:v>9</c:v>
                </c:pt>
                <c:pt idx="32">
                  <c:v>256</c:v>
                </c:pt>
                <c:pt idx="33">
                  <c:v>441</c:v>
                </c:pt>
                <c:pt idx="34">
                  <c:v>49</c:v>
                </c:pt>
                <c:pt idx="35">
                  <c:v>256</c:v>
                </c:pt>
                <c:pt idx="36">
                  <c:v>3136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E-49F1-8330-A92803CAC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544703"/>
        <c:axId val="1879651007"/>
      </c:lineChart>
      <c:catAx>
        <c:axId val="187254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9651007"/>
        <c:crosses val="autoZero"/>
        <c:auto val="1"/>
        <c:lblAlgn val="ctr"/>
        <c:lblOffset val="100"/>
        <c:noMultiLvlLbl val="0"/>
      </c:catAx>
      <c:valAx>
        <c:axId val="187965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254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340178</xdr:colOff>
      <xdr:row>0</xdr:row>
      <xdr:rowOff>68036</xdr:rowOff>
    </xdr:from>
    <xdr:to>
      <xdr:col>21</xdr:col>
      <xdr:colOff>585107</xdr:colOff>
      <xdr:row>21</xdr:row>
      <xdr:rowOff>122465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743AB7B-8366-CA2B-B15C-111002267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108855</xdr:colOff>
      <xdr:row>0</xdr:row>
      <xdr:rowOff>77559</xdr:rowOff>
    </xdr:from>
    <xdr:to>
      <xdr:col>32</xdr:col>
      <xdr:colOff>340178</xdr:colOff>
      <xdr:row>21</xdr:row>
      <xdr:rowOff>108857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C3A24E2-696F-E2DB-AB1D-8A071048B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297996</xdr:colOff>
      <xdr:row>21</xdr:row>
      <xdr:rowOff>181655</xdr:rowOff>
    </xdr:from>
    <xdr:to>
      <xdr:col>19</xdr:col>
      <xdr:colOff>476250</xdr:colOff>
      <xdr:row>39</xdr:row>
      <xdr:rowOff>176893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7B04B00-D532-F98C-A5A3-BA53F2B9A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213712</xdr:colOff>
      <xdr:row>21</xdr:row>
      <xdr:rowOff>167607</xdr:rowOff>
    </xdr:from>
    <xdr:to>
      <xdr:col>30</xdr:col>
      <xdr:colOff>149679</xdr:colOff>
      <xdr:row>40</xdr:row>
      <xdr:rowOff>149678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1CCF740-AAEC-C4D9-1224-C81E52A5E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69273</xdr:colOff>
      <xdr:row>65</xdr:row>
      <xdr:rowOff>188892</xdr:rowOff>
    </xdr:from>
    <xdr:to>
      <xdr:col>35</xdr:col>
      <xdr:colOff>96488</xdr:colOff>
      <xdr:row>87</xdr:row>
      <xdr:rowOff>56903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1F1C0A-7D2C-C666-1FD7-ADDCE2210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593765</xdr:colOff>
      <xdr:row>43</xdr:row>
      <xdr:rowOff>188891</xdr:rowOff>
    </xdr:from>
    <xdr:to>
      <xdr:col>35</xdr:col>
      <xdr:colOff>185552</xdr:colOff>
      <xdr:row>65</xdr:row>
      <xdr:rowOff>97724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8C9336-221F-B84D-1AB2-C882FD2D9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W131"/>
  <sheetViews>
    <sheetView tabSelected="1" zoomScale="70" zoomScaleNormal="70" workbookViewId="0">
      <selection activeCell="E4" sqref="E4:E42"/>
    </sheetView>
  </sheetViews>
  <sheetFormatPr defaultRowHeight="15" x14ac:dyDescent="0.25"/>
  <cols>
    <col min="1" max="5" width="9.140625" style="1"/>
    <col min="6" max="6" width="15.28515625" style="1" customWidth="1"/>
    <col min="7" max="7" width="18.5703125" style="1" customWidth="1"/>
    <col min="8" max="9" width="9.140625" style="1"/>
    <col min="10" max="10" width="48.28515625" style="1" customWidth="1"/>
    <col min="11" max="11" width="9.140625" style="1"/>
    <col min="12" max="12" width="16.85546875" style="1" customWidth="1"/>
    <col min="13" max="13" width="9.140625" style="1"/>
    <col min="14" max="14" width="18.28515625" style="1" customWidth="1"/>
    <col min="15" max="15" width="9.140625" style="1"/>
    <col min="16" max="16" width="12.85546875" style="1" customWidth="1"/>
    <col min="17" max="17" width="11.42578125" style="1" customWidth="1"/>
    <col min="18" max="18" width="16.140625" style="1" customWidth="1"/>
    <col min="19" max="22" width="9.140625" style="1"/>
    <col min="23" max="23" width="12.5703125" style="1" customWidth="1"/>
    <col min="24" max="16384" width="9.140625" style="1"/>
  </cols>
  <sheetData>
    <row r="2" spans="1:10" ht="15.75" thickBot="1" x14ac:dyDescent="0.3"/>
    <row r="3" spans="1:10" ht="15.75" thickBot="1" x14ac:dyDescent="0.3">
      <c r="D3" s="14" t="s">
        <v>5</v>
      </c>
      <c r="E3" s="15"/>
      <c r="F3" s="11" t="s">
        <v>18</v>
      </c>
      <c r="G3" s="11" t="s">
        <v>19</v>
      </c>
    </row>
    <row r="4" spans="1:10" x14ac:dyDescent="0.25">
      <c r="A4" s="6">
        <v>3784</v>
      </c>
      <c r="B4" s="1">
        <f>A4+H4</f>
        <v>3784</v>
      </c>
      <c r="C4" s="1">
        <v>1</v>
      </c>
      <c r="D4" s="5">
        <v>1</v>
      </c>
      <c r="E4" s="8">
        <v>3784</v>
      </c>
      <c r="F4" s="1">
        <f>E94-((B94-$B$94)/1)</f>
        <v>5550</v>
      </c>
      <c r="G4" s="1">
        <f>F4-(($B$131-B94)/1)</f>
        <v>5384.8917084304958</v>
      </c>
      <c r="H4" s="1">
        <v>0</v>
      </c>
      <c r="J4" s="16"/>
    </row>
    <row r="5" spans="1:10" x14ac:dyDescent="0.25">
      <c r="A5" s="6">
        <v>9164</v>
      </c>
      <c r="B5" s="1">
        <f t="shared" ref="B5:B42" si="0">A5+H5</f>
        <v>9334</v>
      </c>
      <c r="C5" s="1">
        <v>2</v>
      </c>
      <c r="D5" s="2">
        <v>1</v>
      </c>
      <c r="E5" s="8">
        <v>9334</v>
      </c>
      <c r="F5" s="1">
        <f t="shared" ref="F5:F41" si="1">E95-((B95-$B$94)/1)</f>
        <v>433.53761374136457</v>
      </c>
      <c r="G5" s="1">
        <f t="shared" ref="G5:G41" si="2">F5-(($B$131-B95)/1)</f>
        <v>272.89170843049624</v>
      </c>
      <c r="H5" s="1">
        <v>170</v>
      </c>
      <c r="J5" s="13"/>
    </row>
    <row r="6" spans="1:10" x14ac:dyDescent="0.25">
      <c r="A6" s="6">
        <v>8556</v>
      </c>
      <c r="B6" s="1">
        <f t="shared" si="0"/>
        <v>8896</v>
      </c>
      <c r="C6" s="1">
        <v>3</v>
      </c>
      <c r="D6" s="2">
        <v>0</v>
      </c>
      <c r="E6" s="8">
        <v>8896</v>
      </c>
      <c r="F6" s="1">
        <f t="shared" si="1"/>
        <v>578.07522748272913</v>
      </c>
      <c r="G6" s="1">
        <f t="shared" si="2"/>
        <v>421.89170843049624</v>
      </c>
      <c r="H6" s="1">
        <v>340</v>
      </c>
      <c r="J6" s="13"/>
    </row>
    <row r="7" spans="1:10" x14ac:dyDescent="0.25">
      <c r="A7" s="6">
        <v>8973</v>
      </c>
      <c r="B7" s="1">
        <f t="shared" si="0"/>
        <v>9483</v>
      </c>
      <c r="C7" s="1">
        <v>4</v>
      </c>
      <c r="D7" s="2">
        <v>0</v>
      </c>
      <c r="E7" s="8">
        <v>9483</v>
      </c>
      <c r="F7" s="1">
        <f t="shared" si="1"/>
        <v>4884.6128412240942</v>
      </c>
      <c r="G7" s="1">
        <f t="shared" si="2"/>
        <v>4732.8917084304958</v>
      </c>
      <c r="H7" s="1">
        <v>510</v>
      </c>
      <c r="J7" s="13"/>
    </row>
    <row r="8" spans="1:10" x14ac:dyDescent="0.25">
      <c r="A8" s="6">
        <v>3905</v>
      </c>
      <c r="B8" s="1">
        <f t="shared" si="0"/>
        <v>4585</v>
      </c>
      <c r="C8" s="1">
        <v>5</v>
      </c>
      <c r="D8" s="2">
        <v>1</v>
      </c>
      <c r="E8" s="8">
        <v>4585</v>
      </c>
      <c r="F8" s="1">
        <f t="shared" si="1"/>
        <v>5297.1504549654592</v>
      </c>
      <c r="G8" s="1">
        <f t="shared" si="2"/>
        <v>5149.8917084304958</v>
      </c>
      <c r="H8" s="1">
        <v>680</v>
      </c>
      <c r="J8" s="13"/>
    </row>
    <row r="9" spans="1:10" x14ac:dyDescent="0.25">
      <c r="A9" s="6">
        <v>9050</v>
      </c>
      <c r="B9" s="1">
        <f t="shared" si="0"/>
        <v>9900</v>
      </c>
      <c r="C9" s="1">
        <v>6</v>
      </c>
      <c r="D9" s="2">
        <v>0</v>
      </c>
      <c r="E9" s="8">
        <v>9900</v>
      </c>
      <c r="F9" s="1">
        <f t="shared" si="1"/>
        <v>4963.6880687068233</v>
      </c>
      <c r="G9" s="1">
        <f t="shared" si="2"/>
        <v>4820.8917084304958</v>
      </c>
      <c r="H9" s="1">
        <v>850</v>
      </c>
      <c r="J9" s="13"/>
    </row>
    <row r="10" spans="1:10" x14ac:dyDescent="0.25">
      <c r="A10" s="6">
        <v>3894</v>
      </c>
      <c r="B10" s="1">
        <f t="shared" si="0"/>
        <v>4914</v>
      </c>
      <c r="C10" s="1">
        <v>7</v>
      </c>
      <c r="D10" s="2">
        <v>1</v>
      </c>
      <c r="E10" s="8">
        <v>4914</v>
      </c>
      <c r="F10" s="1">
        <f t="shared" si="1"/>
        <v>331.22568244818831</v>
      </c>
      <c r="G10" s="1">
        <f t="shared" si="2"/>
        <v>192.89170843049624</v>
      </c>
      <c r="H10" s="1">
        <v>1020</v>
      </c>
      <c r="J10" s="13"/>
    </row>
    <row r="11" spans="1:10" x14ac:dyDescent="0.25">
      <c r="A11" s="6">
        <v>4082</v>
      </c>
      <c r="B11" s="1">
        <f t="shared" si="0"/>
        <v>5272</v>
      </c>
      <c r="C11" s="1">
        <v>8</v>
      </c>
      <c r="D11" s="2">
        <v>1</v>
      </c>
      <c r="E11" s="8">
        <v>5272</v>
      </c>
      <c r="F11" s="1">
        <f t="shared" si="1"/>
        <v>5218.7632961895533</v>
      </c>
      <c r="G11" s="1">
        <f t="shared" si="2"/>
        <v>5084.8917084304958</v>
      </c>
      <c r="H11" s="1">
        <v>1190</v>
      </c>
      <c r="J11" s="13"/>
    </row>
    <row r="12" spans="1:10" x14ac:dyDescent="0.25">
      <c r="A12" s="6">
        <v>9162</v>
      </c>
      <c r="B12" s="1">
        <f t="shared" si="0"/>
        <v>10522</v>
      </c>
      <c r="C12" s="1">
        <v>9</v>
      </c>
      <c r="D12" s="2">
        <v>0</v>
      </c>
      <c r="E12" s="8">
        <v>10522</v>
      </c>
      <c r="F12" s="1">
        <f t="shared" si="1"/>
        <v>443.3009099309179</v>
      </c>
      <c r="G12" s="1">
        <f t="shared" si="2"/>
        <v>313.89170843049624</v>
      </c>
      <c r="H12" s="1">
        <v>1360</v>
      </c>
      <c r="J12" s="13"/>
    </row>
    <row r="13" spans="1:10" x14ac:dyDescent="0.25">
      <c r="A13" s="6">
        <v>9471</v>
      </c>
      <c r="B13" s="1">
        <f t="shared" si="0"/>
        <v>11001</v>
      </c>
      <c r="C13" s="1">
        <v>10</v>
      </c>
      <c r="D13" s="2">
        <v>1</v>
      </c>
      <c r="E13" s="8">
        <v>11001</v>
      </c>
      <c r="F13" s="1">
        <f t="shared" si="1"/>
        <v>326.83852367228246</v>
      </c>
      <c r="G13" s="1">
        <f t="shared" si="2"/>
        <v>201.89170843049624</v>
      </c>
      <c r="H13" s="1">
        <v>1530</v>
      </c>
      <c r="J13" s="13"/>
    </row>
    <row r="14" spans="1:10" x14ac:dyDescent="0.25">
      <c r="A14" s="6">
        <v>9668</v>
      </c>
      <c r="B14" s="1">
        <f t="shared" si="0"/>
        <v>11368</v>
      </c>
      <c r="C14" s="1">
        <v>11</v>
      </c>
      <c r="D14" s="2">
        <v>0</v>
      </c>
      <c r="E14" s="8">
        <v>11368</v>
      </c>
      <c r="F14" s="1">
        <f t="shared" si="1"/>
        <v>5278.3761374136475</v>
      </c>
      <c r="G14" s="1">
        <f t="shared" si="2"/>
        <v>5157.8917084304958</v>
      </c>
      <c r="H14" s="1">
        <v>1700</v>
      </c>
      <c r="J14" s="13"/>
    </row>
    <row r="15" spans="1:10" x14ac:dyDescent="0.25">
      <c r="A15" s="6">
        <v>4175</v>
      </c>
      <c r="B15" s="1">
        <f t="shared" si="0"/>
        <v>6045</v>
      </c>
      <c r="C15" s="1">
        <v>12</v>
      </c>
      <c r="D15" s="2">
        <v>1</v>
      </c>
      <c r="E15" s="8">
        <v>6045</v>
      </c>
      <c r="F15" s="1">
        <f t="shared" si="1"/>
        <v>5762.9137511550125</v>
      </c>
      <c r="G15" s="1">
        <f t="shared" si="2"/>
        <v>5646.8917084304967</v>
      </c>
      <c r="H15" s="1">
        <v>1870</v>
      </c>
      <c r="J15" s="13"/>
    </row>
    <row r="16" spans="1:10" x14ac:dyDescent="0.25">
      <c r="A16" s="6">
        <v>9817</v>
      </c>
      <c r="B16" s="1">
        <f t="shared" si="0"/>
        <v>11857</v>
      </c>
      <c r="C16" s="1">
        <v>13</v>
      </c>
      <c r="D16" s="2">
        <v>0</v>
      </c>
      <c r="E16" s="8">
        <v>11857</v>
      </c>
      <c r="F16" s="1">
        <f t="shared" si="1"/>
        <v>228.45136489637707</v>
      </c>
      <c r="G16" s="1">
        <f t="shared" si="2"/>
        <v>116.89170843049624</v>
      </c>
      <c r="H16" s="1">
        <v>2040</v>
      </c>
      <c r="J16" s="13"/>
    </row>
    <row r="17" spans="1:10" x14ac:dyDescent="0.25">
      <c r="A17" s="6">
        <v>9365</v>
      </c>
      <c r="B17" s="1">
        <f t="shared" si="0"/>
        <v>11575</v>
      </c>
      <c r="C17" s="1">
        <v>14</v>
      </c>
      <c r="D17" s="2">
        <v>1</v>
      </c>
      <c r="E17" s="8">
        <v>11575</v>
      </c>
      <c r="F17" s="1">
        <f t="shared" si="1"/>
        <v>744.98897863774164</v>
      </c>
      <c r="G17" s="1">
        <f t="shared" si="2"/>
        <v>637.89170843049624</v>
      </c>
      <c r="H17" s="1">
        <v>2210</v>
      </c>
      <c r="J17" s="13"/>
    </row>
    <row r="18" spans="1:10" x14ac:dyDescent="0.25">
      <c r="A18" s="6">
        <v>9998</v>
      </c>
      <c r="B18" s="1">
        <f t="shared" si="0"/>
        <v>12378</v>
      </c>
      <c r="C18" s="1">
        <v>15</v>
      </c>
      <c r="D18" s="2">
        <v>0</v>
      </c>
      <c r="E18" s="8">
        <v>12378</v>
      </c>
      <c r="F18" s="1">
        <f t="shared" si="1"/>
        <v>5253.5265923791067</v>
      </c>
      <c r="G18" s="1">
        <f t="shared" si="2"/>
        <v>5150.8917084304958</v>
      </c>
      <c r="H18" s="1">
        <v>2380</v>
      </c>
      <c r="J18" s="13"/>
    </row>
    <row r="19" spans="1:10" x14ac:dyDescent="0.25">
      <c r="A19" s="6">
        <v>4512</v>
      </c>
      <c r="B19" s="1">
        <f t="shared" si="0"/>
        <v>7062</v>
      </c>
      <c r="C19" s="1">
        <v>16</v>
      </c>
      <c r="D19" s="2">
        <v>1</v>
      </c>
      <c r="E19" s="8">
        <v>7062</v>
      </c>
      <c r="F19" s="1">
        <f t="shared" si="1"/>
        <v>23.064206120471681</v>
      </c>
      <c r="G19" s="1">
        <f t="shared" si="2"/>
        <v>-75.108291569503763</v>
      </c>
      <c r="H19" s="1">
        <v>2550</v>
      </c>
      <c r="J19" s="13"/>
    </row>
    <row r="20" spans="1:10" x14ac:dyDescent="0.25">
      <c r="A20" s="6">
        <v>4432</v>
      </c>
      <c r="B20" s="1">
        <f t="shared" si="0"/>
        <v>7152</v>
      </c>
      <c r="C20" s="1">
        <v>17</v>
      </c>
      <c r="D20" s="2">
        <v>1</v>
      </c>
      <c r="E20" s="8">
        <v>7152</v>
      </c>
      <c r="F20" s="1">
        <f t="shared" si="1"/>
        <v>5801.6018198618358</v>
      </c>
      <c r="G20" s="1">
        <f t="shared" si="2"/>
        <v>5707.8917084304958</v>
      </c>
      <c r="H20" s="1">
        <v>2720</v>
      </c>
      <c r="J20" s="13"/>
    </row>
    <row r="21" spans="1:10" x14ac:dyDescent="0.25">
      <c r="A21" s="6">
        <v>10135</v>
      </c>
      <c r="B21" s="1">
        <f t="shared" si="0"/>
        <v>13025</v>
      </c>
      <c r="C21" s="1">
        <v>18</v>
      </c>
      <c r="D21" s="2">
        <v>0</v>
      </c>
      <c r="E21" s="8">
        <v>13025</v>
      </c>
      <c r="F21" s="1">
        <f t="shared" si="1"/>
        <v>269.13943360320081</v>
      </c>
      <c r="G21" s="1">
        <f t="shared" si="2"/>
        <v>179.89170843049624</v>
      </c>
      <c r="H21" s="1">
        <v>2890</v>
      </c>
      <c r="J21" s="13"/>
    </row>
    <row r="22" spans="1:10" x14ac:dyDescent="0.25">
      <c r="A22" s="6">
        <v>10310</v>
      </c>
      <c r="B22" s="1">
        <f t="shared" si="0"/>
        <v>13370</v>
      </c>
      <c r="C22" s="1">
        <v>19</v>
      </c>
      <c r="D22" s="2">
        <v>1</v>
      </c>
      <c r="E22" s="8">
        <v>13370</v>
      </c>
      <c r="F22" s="1">
        <f t="shared" si="1"/>
        <v>5293.6770473445658</v>
      </c>
      <c r="G22" s="1">
        <f t="shared" si="2"/>
        <v>5208.8917084304958</v>
      </c>
      <c r="H22" s="1">
        <v>3060</v>
      </c>
      <c r="J22" s="13"/>
    </row>
    <row r="23" spans="1:10" x14ac:dyDescent="0.25">
      <c r="A23" s="6">
        <v>4766</v>
      </c>
      <c r="B23" s="1">
        <f t="shared" si="0"/>
        <v>7996</v>
      </c>
      <c r="C23" s="1">
        <v>20</v>
      </c>
      <c r="D23" s="2">
        <v>0</v>
      </c>
      <c r="E23" s="8">
        <v>7996</v>
      </c>
      <c r="F23" s="1">
        <f t="shared" si="1"/>
        <v>6401.2146610859309</v>
      </c>
      <c r="G23" s="1">
        <f t="shared" si="2"/>
        <v>6320.8917084304967</v>
      </c>
      <c r="H23" s="1">
        <v>3230</v>
      </c>
      <c r="J23" s="13"/>
    </row>
    <row r="24" spans="1:10" x14ac:dyDescent="0.25">
      <c r="A24" s="6">
        <v>11082</v>
      </c>
      <c r="B24" s="1">
        <f t="shared" si="0"/>
        <v>14482</v>
      </c>
      <c r="C24" s="1">
        <v>21</v>
      </c>
      <c r="D24" s="2">
        <v>1</v>
      </c>
      <c r="E24" s="8">
        <v>14482</v>
      </c>
      <c r="F24" s="1">
        <f t="shared" si="1"/>
        <v>6295.752274827295</v>
      </c>
      <c r="G24" s="1">
        <f t="shared" si="2"/>
        <v>6219.8917084304958</v>
      </c>
      <c r="H24" s="1">
        <v>3400</v>
      </c>
      <c r="J24" s="13"/>
    </row>
    <row r="25" spans="1:10" x14ac:dyDescent="0.25">
      <c r="A25" s="6">
        <v>4527</v>
      </c>
      <c r="B25" s="1">
        <f t="shared" si="0"/>
        <v>8097</v>
      </c>
      <c r="C25" s="1">
        <v>22</v>
      </c>
      <c r="D25" s="2">
        <v>0</v>
      </c>
      <c r="E25" s="8">
        <v>8097</v>
      </c>
      <c r="F25" s="1">
        <f t="shared" si="1"/>
        <v>6487.28988856866</v>
      </c>
      <c r="G25" s="1">
        <f t="shared" si="2"/>
        <v>6415.8917084304958</v>
      </c>
      <c r="H25" s="1">
        <v>3570</v>
      </c>
      <c r="J25" s="13"/>
    </row>
    <row r="26" spans="1:10" x14ac:dyDescent="0.25">
      <c r="A26" s="6">
        <v>10938</v>
      </c>
      <c r="B26" s="1">
        <f t="shared" si="0"/>
        <v>14678</v>
      </c>
      <c r="C26" s="1">
        <v>23</v>
      </c>
      <c r="D26" s="2">
        <v>1</v>
      </c>
      <c r="E26" s="8">
        <v>14678</v>
      </c>
      <c r="F26" s="1">
        <f t="shared" si="1"/>
        <v>6195.827502310025</v>
      </c>
      <c r="G26" s="1">
        <f t="shared" si="2"/>
        <v>6128.8917084304958</v>
      </c>
      <c r="H26" s="1">
        <v>3740</v>
      </c>
      <c r="J26" s="13"/>
    </row>
    <row r="27" spans="1:10" x14ac:dyDescent="0.25">
      <c r="A27" s="6">
        <v>4474</v>
      </c>
      <c r="B27" s="1">
        <f t="shared" si="0"/>
        <v>8384</v>
      </c>
      <c r="C27" s="1">
        <v>24</v>
      </c>
      <c r="D27" s="2">
        <v>0</v>
      </c>
      <c r="E27" s="8">
        <v>8384</v>
      </c>
      <c r="F27" s="1">
        <f t="shared" si="1"/>
        <v>5744.3651160513891</v>
      </c>
      <c r="G27" s="1">
        <f t="shared" si="2"/>
        <v>5681.8917084304958</v>
      </c>
      <c r="H27" s="1">
        <v>3910</v>
      </c>
      <c r="J27" s="13"/>
    </row>
    <row r="28" spans="1:10" x14ac:dyDescent="0.25">
      <c r="A28" s="6">
        <v>10151</v>
      </c>
      <c r="B28" s="1">
        <f t="shared" si="0"/>
        <v>14231</v>
      </c>
      <c r="C28" s="1">
        <v>25</v>
      </c>
      <c r="D28" s="2">
        <v>1</v>
      </c>
      <c r="E28" s="8">
        <v>14231</v>
      </c>
      <c r="F28" s="1">
        <f t="shared" si="1"/>
        <v>156.90272979275414</v>
      </c>
      <c r="G28" s="1">
        <f t="shared" si="2"/>
        <v>98.891708430496237</v>
      </c>
      <c r="H28" s="1">
        <v>4080</v>
      </c>
      <c r="J28" s="13"/>
    </row>
    <row r="29" spans="1:10" x14ac:dyDescent="0.25">
      <c r="A29" s="6">
        <v>10245</v>
      </c>
      <c r="B29" s="1">
        <f t="shared" si="0"/>
        <v>14495</v>
      </c>
      <c r="C29" s="1">
        <v>26</v>
      </c>
      <c r="D29" s="2">
        <v>0</v>
      </c>
      <c r="E29" s="8">
        <v>14495</v>
      </c>
      <c r="F29" s="1">
        <f t="shared" si="1"/>
        <v>877.44034353411917</v>
      </c>
      <c r="G29" s="1">
        <f t="shared" si="2"/>
        <v>823.89170843049624</v>
      </c>
      <c r="H29" s="1">
        <v>4250</v>
      </c>
      <c r="J29" s="13"/>
    </row>
    <row r="30" spans="1:10" x14ac:dyDescent="0.25">
      <c r="A30" s="6">
        <v>11064</v>
      </c>
      <c r="B30" s="1">
        <f t="shared" si="0"/>
        <v>15484</v>
      </c>
      <c r="C30" s="1">
        <v>27</v>
      </c>
      <c r="D30" s="2">
        <v>1</v>
      </c>
      <c r="E30" s="8">
        <v>15484</v>
      </c>
      <c r="F30" s="1">
        <f t="shared" si="1"/>
        <v>5608.9779572754842</v>
      </c>
      <c r="G30" s="1">
        <f t="shared" si="2"/>
        <v>5559.8917084304958</v>
      </c>
      <c r="H30" s="1">
        <v>4420</v>
      </c>
      <c r="J30" s="13"/>
    </row>
    <row r="31" spans="1:10" x14ac:dyDescent="0.25">
      <c r="A31" s="6">
        <v>5169</v>
      </c>
      <c r="B31" s="1">
        <f t="shared" si="0"/>
        <v>9759</v>
      </c>
      <c r="C31" s="1">
        <v>28</v>
      </c>
      <c r="D31" s="2">
        <v>0</v>
      </c>
      <c r="E31" s="8">
        <v>9759</v>
      </c>
      <c r="F31" s="1">
        <f t="shared" si="1"/>
        <v>173.5155710168483</v>
      </c>
      <c r="G31" s="1">
        <f t="shared" si="2"/>
        <v>128.89170843049624</v>
      </c>
      <c r="H31" s="1">
        <v>4590</v>
      </c>
      <c r="J31" s="13"/>
    </row>
    <row r="32" spans="1:10" x14ac:dyDescent="0.25">
      <c r="A32" s="6">
        <v>5293</v>
      </c>
      <c r="B32" s="1">
        <f t="shared" si="0"/>
        <v>10053</v>
      </c>
      <c r="C32" s="1">
        <v>29</v>
      </c>
      <c r="D32" s="2">
        <v>1</v>
      </c>
      <c r="E32" s="8">
        <v>10053</v>
      </c>
      <c r="F32" s="1">
        <f t="shared" si="1"/>
        <v>210.05318475821332</v>
      </c>
      <c r="G32" s="1">
        <f t="shared" si="2"/>
        <v>169.89170843049624</v>
      </c>
      <c r="H32" s="1">
        <v>4760</v>
      </c>
      <c r="J32" s="13"/>
    </row>
    <row r="33" spans="1:24" x14ac:dyDescent="0.25">
      <c r="A33" s="6">
        <v>4788</v>
      </c>
      <c r="B33" s="1">
        <f t="shared" si="0"/>
        <v>9718</v>
      </c>
      <c r="C33" s="1">
        <v>30</v>
      </c>
      <c r="D33" s="2">
        <v>1</v>
      </c>
      <c r="E33" s="8">
        <v>9718</v>
      </c>
      <c r="F33" s="1">
        <f t="shared" si="1"/>
        <v>6111.5907984995783</v>
      </c>
      <c r="G33" s="1">
        <f t="shared" si="2"/>
        <v>6075.8917084304958</v>
      </c>
      <c r="H33" s="1">
        <v>4930</v>
      </c>
      <c r="J33" s="13"/>
    </row>
    <row r="34" spans="1:24" x14ac:dyDescent="0.25">
      <c r="A34" s="6">
        <v>10859</v>
      </c>
      <c r="B34" s="1">
        <f t="shared" si="0"/>
        <v>15959</v>
      </c>
      <c r="C34" s="1">
        <v>31</v>
      </c>
      <c r="D34" s="2">
        <v>1</v>
      </c>
      <c r="E34" s="8">
        <v>15959</v>
      </c>
      <c r="F34" s="1">
        <f t="shared" si="1"/>
        <v>5681.1284122409434</v>
      </c>
      <c r="G34" s="1">
        <f t="shared" si="2"/>
        <v>5649.8917084304967</v>
      </c>
      <c r="H34" s="1">
        <v>5100</v>
      </c>
      <c r="J34" s="13"/>
    </row>
    <row r="35" spans="1:24" x14ac:dyDescent="0.25">
      <c r="A35" s="6">
        <v>4874</v>
      </c>
      <c r="B35" s="1">
        <f t="shared" si="0"/>
        <v>10144</v>
      </c>
      <c r="C35" s="1">
        <v>32</v>
      </c>
      <c r="D35" s="2">
        <v>0</v>
      </c>
      <c r="E35" s="8">
        <v>10144</v>
      </c>
      <c r="F35" s="1">
        <f t="shared" si="1"/>
        <v>179.66602598230747</v>
      </c>
      <c r="G35" s="1">
        <f t="shared" si="2"/>
        <v>152.89170843049624</v>
      </c>
      <c r="H35" s="1">
        <v>5270</v>
      </c>
      <c r="J35" s="13"/>
    </row>
    <row r="36" spans="1:24" x14ac:dyDescent="0.25">
      <c r="A36" s="6">
        <v>5022</v>
      </c>
      <c r="B36" s="1">
        <f t="shared" si="0"/>
        <v>10462</v>
      </c>
      <c r="C36" s="1">
        <v>33</v>
      </c>
      <c r="D36" s="2">
        <v>1</v>
      </c>
      <c r="E36" s="8">
        <v>10462</v>
      </c>
      <c r="F36" s="1">
        <f t="shared" si="1"/>
        <v>5559.2036397236725</v>
      </c>
      <c r="G36" s="1">
        <f t="shared" si="2"/>
        <v>5536.8917084304958</v>
      </c>
      <c r="H36" s="1">
        <v>5440</v>
      </c>
      <c r="J36" s="13"/>
    </row>
    <row r="37" spans="1:24" x14ac:dyDescent="0.25">
      <c r="A37" s="6">
        <v>10554</v>
      </c>
      <c r="B37" s="1">
        <f t="shared" si="0"/>
        <v>16164</v>
      </c>
      <c r="C37" s="1">
        <v>34</v>
      </c>
      <c r="D37" s="2">
        <v>1</v>
      </c>
      <c r="E37" s="8">
        <v>16164</v>
      </c>
      <c r="F37" s="1">
        <f t="shared" si="1"/>
        <v>-114.25874653496248</v>
      </c>
      <c r="G37" s="1">
        <f t="shared" si="2"/>
        <v>-132.10829156950376</v>
      </c>
      <c r="H37" s="1">
        <v>5610</v>
      </c>
      <c r="J37" s="13"/>
    </row>
    <row r="38" spans="1:24" x14ac:dyDescent="0.25">
      <c r="A38" s="6">
        <v>10417</v>
      </c>
      <c r="B38" s="1">
        <f t="shared" si="0"/>
        <v>16197</v>
      </c>
      <c r="C38" s="1">
        <v>35</v>
      </c>
      <c r="D38" s="2">
        <v>1</v>
      </c>
      <c r="E38" s="8">
        <v>16197</v>
      </c>
      <c r="F38" s="1">
        <f t="shared" si="1"/>
        <v>147.27886720640208</v>
      </c>
      <c r="G38" s="1">
        <f t="shared" si="2"/>
        <v>133.89170843049624</v>
      </c>
      <c r="H38" s="1">
        <v>5780</v>
      </c>
      <c r="J38" s="13"/>
    </row>
    <row r="39" spans="1:24" x14ac:dyDescent="0.25">
      <c r="A39" s="6">
        <v>10546</v>
      </c>
      <c r="B39" s="1">
        <f t="shared" si="0"/>
        <v>16496</v>
      </c>
      <c r="C39" s="1">
        <v>36</v>
      </c>
      <c r="D39" s="2">
        <v>1</v>
      </c>
      <c r="E39" s="8">
        <v>16496</v>
      </c>
      <c r="F39" s="1">
        <f t="shared" si="1"/>
        <v>5870.8164809477666</v>
      </c>
      <c r="G39" s="1">
        <f t="shared" si="2"/>
        <v>5861.8917084304958</v>
      </c>
      <c r="H39" s="1">
        <v>5950</v>
      </c>
      <c r="J39" s="13"/>
    </row>
    <row r="40" spans="1:24" x14ac:dyDescent="0.25">
      <c r="A40" s="6">
        <v>4349</v>
      </c>
      <c r="B40" s="1">
        <f t="shared" si="0"/>
        <v>10469</v>
      </c>
      <c r="C40" s="1">
        <v>37</v>
      </c>
      <c r="D40" s="2">
        <v>1</v>
      </c>
      <c r="E40" s="8">
        <v>10469</v>
      </c>
      <c r="F40" s="1">
        <f t="shared" si="1"/>
        <v>6366.3540946891317</v>
      </c>
      <c r="G40" s="1">
        <f t="shared" si="2"/>
        <v>6361.8917084304958</v>
      </c>
      <c r="H40" s="1">
        <v>6120</v>
      </c>
      <c r="J40" s="13"/>
    </row>
    <row r="41" spans="1:24" x14ac:dyDescent="0.25">
      <c r="A41" s="6">
        <v>10706</v>
      </c>
      <c r="B41" s="1">
        <f t="shared" si="0"/>
        <v>16996</v>
      </c>
      <c r="C41" s="1">
        <v>38</v>
      </c>
      <c r="D41" s="2">
        <v>1</v>
      </c>
      <c r="E41" s="8">
        <v>16996</v>
      </c>
      <c r="F41" s="1">
        <f t="shared" si="1"/>
        <v>1124.8917084304962</v>
      </c>
      <c r="G41" s="1">
        <f t="shared" si="2"/>
        <v>1124.8917084304962</v>
      </c>
      <c r="H41" s="1">
        <v>6290</v>
      </c>
      <c r="J41" s="13"/>
    </row>
    <row r="42" spans="1:24" x14ac:dyDescent="0.25">
      <c r="A42" s="6">
        <v>9246</v>
      </c>
      <c r="B42" s="1">
        <f t="shared" si="0"/>
        <v>15706</v>
      </c>
      <c r="C42" s="1">
        <v>39</v>
      </c>
      <c r="D42" s="2">
        <v>1</v>
      </c>
      <c r="E42" s="8">
        <v>15706</v>
      </c>
      <c r="H42" s="1">
        <v>6460</v>
      </c>
      <c r="J42" s="13"/>
    </row>
    <row r="44" spans="1:24" ht="15.75" thickBot="1" x14ac:dyDescent="0.3"/>
    <row r="45" spans="1:24" ht="15.75" thickBot="1" x14ac:dyDescent="0.3">
      <c r="L45" s="7" t="s">
        <v>7</v>
      </c>
      <c r="N45" s="11" t="s">
        <v>6</v>
      </c>
      <c r="P45" s="11" t="s">
        <v>12</v>
      </c>
      <c r="R45" s="7" t="s">
        <v>13</v>
      </c>
      <c r="U45" s="11" t="s">
        <v>10</v>
      </c>
      <c r="V45" s="7" t="s">
        <v>8</v>
      </c>
      <c r="W45" s="7" t="s">
        <v>9</v>
      </c>
    </row>
    <row r="46" spans="1:24" x14ac:dyDescent="0.25">
      <c r="K46" s="1">
        <f t="shared" ref="K46:K83" si="3">IF(L46&gt;=$N$86,1,0)</f>
        <v>1</v>
      </c>
      <c r="L46" s="12">
        <f>G4</f>
        <v>5384.8917084304958</v>
      </c>
      <c r="N46" s="1">
        <v>6829.319435865018</v>
      </c>
      <c r="P46" s="1">
        <f>N46-N47</f>
        <v>213</v>
      </c>
      <c r="Q46" s="1">
        <f>P46^2</f>
        <v>45369</v>
      </c>
      <c r="R46" s="10">
        <f>MAX(P46:P82)</f>
        <v>3570</v>
      </c>
      <c r="T46" s="1">
        <v>1</v>
      </c>
      <c r="U46" s="1" t="str">
        <f>IF((E5-E4)&gt;0,"+","-")</f>
        <v>+</v>
      </c>
      <c r="V46" s="5">
        <f>ABS(E5-E4)</f>
        <v>5550</v>
      </c>
      <c r="W46" s="6">
        <v>6528</v>
      </c>
      <c r="X46" s="5">
        <f>ABS(E5-E4)</f>
        <v>5550</v>
      </c>
    </row>
    <row r="47" spans="1:24" x14ac:dyDescent="0.25">
      <c r="K47" s="1">
        <f t="shared" si="3"/>
        <v>0</v>
      </c>
      <c r="L47" s="12">
        <f t="shared" ref="L47:L83" si="4">G5</f>
        <v>272.89170843049624</v>
      </c>
      <c r="N47" s="1">
        <v>6616.319435865018</v>
      </c>
      <c r="P47" s="1">
        <f t="shared" ref="P47:P82" si="5">N47-N48</f>
        <v>178</v>
      </c>
      <c r="Q47" s="1">
        <f t="shared" ref="Q47:Q82" si="6">P47^2</f>
        <v>31684</v>
      </c>
      <c r="R47" s="8"/>
      <c r="T47" s="1">
        <v>2</v>
      </c>
      <c r="U47" s="1" t="str">
        <f t="shared" ref="U47:U83" si="7">IF((E6-E5)&gt;0,"+","-")</f>
        <v>-</v>
      </c>
      <c r="V47" s="5">
        <f t="shared" ref="V47:W83" si="8">ABS(E6-E5)</f>
        <v>438</v>
      </c>
      <c r="W47" s="3">
        <v>6315</v>
      </c>
      <c r="X47" s="5">
        <f t="shared" ref="X47:X83" si="9">ABS(E6-E5)</f>
        <v>438</v>
      </c>
    </row>
    <row r="48" spans="1:24" x14ac:dyDescent="0.25">
      <c r="K48" s="1">
        <f t="shared" si="3"/>
        <v>0</v>
      </c>
      <c r="L48" s="12">
        <f t="shared" si="4"/>
        <v>421.89170843049624</v>
      </c>
      <c r="N48" s="1">
        <v>6438.319435865018</v>
      </c>
      <c r="P48" s="1">
        <f t="shared" si="5"/>
        <v>54</v>
      </c>
      <c r="Q48" s="1">
        <f t="shared" si="6"/>
        <v>2916</v>
      </c>
      <c r="R48" s="8"/>
      <c r="T48" s="1">
        <v>3</v>
      </c>
      <c r="U48" s="1" t="str">
        <f t="shared" si="7"/>
        <v>+</v>
      </c>
      <c r="V48" s="5">
        <f t="shared" si="8"/>
        <v>587</v>
      </c>
      <c r="W48" s="3">
        <v>6137</v>
      </c>
      <c r="X48" s="5">
        <f t="shared" si="9"/>
        <v>587</v>
      </c>
    </row>
    <row r="49" spans="11:24" x14ac:dyDescent="0.25">
      <c r="K49" s="1">
        <f t="shared" si="3"/>
        <v>0</v>
      </c>
      <c r="L49" s="12">
        <f t="shared" si="4"/>
        <v>4732.8917084304958</v>
      </c>
      <c r="N49" s="1">
        <v>6384.319435865018</v>
      </c>
      <c r="P49" s="1">
        <f t="shared" si="5"/>
        <v>91</v>
      </c>
      <c r="Q49" s="1">
        <f t="shared" si="6"/>
        <v>8281</v>
      </c>
      <c r="R49" s="8"/>
      <c r="T49" s="1">
        <v>4</v>
      </c>
      <c r="U49" s="1" t="str">
        <f t="shared" si="7"/>
        <v>-</v>
      </c>
      <c r="V49" s="5">
        <f t="shared" si="8"/>
        <v>4898</v>
      </c>
      <c r="W49" s="3">
        <v>6083</v>
      </c>
      <c r="X49" s="5">
        <f t="shared" si="9"/>
        <v>4898</v>
      </c>
    </row>
    <row r="50" spans="11:24" x14ac:dyDescent="0.25">
      <c r="K50" s="1">
        <f>IF(L50&gt;=$N$86,1,0)</f>
        <v>1</v>
      </c>
      <c r="L50" s="12">
        <f t="shared" si="4"/>
        <v>5149.8917084304958</v>
      </c>
      <c r="N50" s="1">
        <v>6293.319435865018</v>
      </c>
      <c r="P50" s="1">
        <f t="shared" si="5"/>
        <v>32</v>
      </c>
      <c r="Q50" s="1">
        <f t="shared" si="6"/>
        <v>1024</v>
      </c>
      <c r="R50" s="8"/>
      <c r="T50" s="1">
        <v>5</v>
      </c>
      <c r="U50" s="1" t="str">
        <f t="shared" si="7"/>
        <v>+</v>
      </c>
      <c r="V50" s="5">
        <f t="shared" si="8"/>
        <v>5315</v>
      </c>
      <c r="W50" s="3">
        <v>5992</v>
      </c>
      <c r="X50" s="5">
        <f t="shared" si="9"/>
        <v>5315</v>
      </c>
    </row>
    <row r="51" spans="11:24" x14ac:dyDescent="0.25">
      <c r="K51" s="1">
        <f t="shared" si="3"/>
        <v>0</v>
      </c>
      <c r="L51" s="12">
        <f t="shared" si="4"/>
        <v>4820.8917084304958</v>
      </c>
      <c r="N51" s="1">
        <v>6261.319435865018</v>
      </c>
      <c r="P51" s="1">
        <f t="shared" si="5"/>
        <v>137</v>
      </c>
      <c r="Q51" s="1">
        <f t="shared" si="6"/>
        <v>18769</v>
      </c>
      <c r="R51" s="8"/>
      <c r="T51" s="1">
        <v>6</v>
      </c>
      <c r="U51" s="1" t="str">
        <f t="shared" si="7"/>
        <v>-</v>
      </c>
      <c r="V51" s="5">
        <f t="shared" si="8"/>
        <v>4986</v>
      </c>
      <c r="W51" s="3">
        <v>5960</v>
      </c>
      <c r="X51" s="5">
        <f t="shared" si="9"/>
        <v>4986</v>
      </c>
    </row>
    <row r="52" spans="11:24" x14ac:dyDescent="0.25">
      <c r="K52" s="1">
        <f t="shared" si="3"/>
        <v>0</v>
      </c>
      <c r="L52" s="12">
        <f t="shared" si="4"/>
        <v>192.89170843049624</v>
      </c>
      <c r="N52" s="1">
        <v>6124.319435865018</v>
      </c>
      <c r="P52" s="1">
        <f t="shared" si="5"/>
        <v>178</v>
      </c>
      <c r="Q52" s="1">
        <f t="shared" si="6"/>
        <v>31684</v>
      </c>
      <c r="R52" s="8"/>
      <c r="T52" s="1">
        <v>7</v>
      </c>
      <c r="U52" s="1" t="str">
        <f t="shared" si="7"/>
        <v>+</v>
      </c>
      <c r="V52" s="5">
        <f t="shared" si="8"/>
        <v>358</v>
      </c>
      <c r="W52" s="3">
        <v>5823</v>
      </c>
      <c r="X52" s="5">
        <f t="shared" si="9"/>
        <v>358</v>
      </c>
    </row>
    <row r="53" spans="11:24" x14ac:dyDescent="0.25">
      <c r="K53" s="1">
        <f t="shared" si="3"/>
        <v>1</v>
      </c>
      <c r="L53" s="12">
        <f t="shared" si="4"/>
        <v>5084.8917084304958</v>
      </c>
      <c r="N53" s="1">
        <v>5946.319435865018</v>
      </c>
      <c r="P53" s="1">
        <f t="shared" si="5"/>
        <v>23</v>
      </c>
      <c r="Q53" s="1">
        <f t="shared" si="6"/>
        <v>529</v>
      </c>
      <c r="R53" s="8"/>
      <c r="T53" s="1">
        <v>8</v>
      </c>
      <c r="U53" s="1" t="str">
        <f t="shared" si="7"/>
        <v>+</v>
      </c>
      <c r="V53" s="5">
        <f t="shared" si="8"/>
        <v>5250</v>
      </c>
      <c r="W53" s="3">
        <v>5645</v>
      </c>
      <c r="X53" s="5">
        <f t="shared" si="9"/>
        <v>5250</v>
      </c>
    </row>
    <row r="54" spans="11:24" x14ac:dyDescent="0.25">
      <c r="K54" s="1">
        <f t="shared" si="3"/>
        <v>0</v>
      </c>
      <c r="L54" s="12">
        <f t="shared" si="4"/>
        <v>313.89170843049624</v>
      </c>
      <c r="N54" s="1">
        <v>5923.319435865018</v>
      </c>
      <c r="P54" s="1">
        <f t="shared" si="5"/>
        <v>71</v>
      </c>
      <c r="Q54" s="1">
        <f t="shared" si="6"/>
        <v>5041</v>
      </c>
      <c r="R54" s="8"/>
      <c r="T54" s="1">
        <v>9</v>
      </c>
      <c r="U54" s="1" t="str">
        <f t="shared" si="7"/>
        <v>+</v>
      </c>
      <c r="V54" s="5">
        <f t="shared" si="8"/>
        <v>479</v>
      </c>
      <c r="W54" s="3">
        <v>5622</v>
      </c>
      <c r="X54" s="5">
        <f t="shared" si="9"/>
        <v>479</v>
      </c>
    </row>
    <row r="55" spans="11:24" x14ac:dyDescent="0.25">
      <c r="K55" s="1">
        <f t="shared" si="3"/>
        <v>0</v>
      </c>
      <c r="L55" s="12">
        <f t="shared" si="4"/>
        <v>201.89170843049624</v>
      </c>
      <c r="N55" s="1">
        <v>5852.319435865018</v>
      </c>
      <c r="P55" s="1">
        <f t="shared" si="5"/>
        <v>14</v>
      </c>
      <c r="Q55" s="1">
        <f t="shared" si="6"/>
        <v>196</v>
      </c>
      <c r="R55" s="8"/>
      <c r="T55" s="1">
        <v>10</v>
      </c>
      <c r="U55" s="1" t="str">
        <f t="shared" si="7"/>
        <v>+</v>
      </c>
      <c r="V55" s="5">
        <f t="shared" si="8"/>
        <v>367</v>
      </c>
      <c r="W55" s="3">
        <v>5551</v>
      </c>
      <c r="X55" s="5">
        <f t="shared" si="9"/>
        <v>367</v>
      </c>
    </row>
    <row r="56" spans="11:24" x14ac:dyDescent="0.25">
      <c r="K56" s="1">
        <f t="shared" si="3"/>
        <v>1</v>
      </c>
      <c r="L56" s="12">
        <f t="shared" si="4"/>
        <v>5157.8917084304958</v>
      </c>
      <c r="N56" s="1">
        <v>5838.319435865018</v>
      </c>
      <c r="P56" s="1">
        <f t="shared" si="5"/>
        <v>33</v>
      </c>
      <c r="Q56" s="1">
        <f t="shared" si="6"/>
        <v>1089</v>
      </c>
      <c r="R56" s="8"/>
      <c r="T56" s="1">
        <v>11</v>
      </c>
      <c r="U56" s="1" t="str">
        <f t="shared" si="7"/>
        <v>-</v>
      </c>
      <c r="V56" s="5">
        <f t="shared" si="8"/>
        <v>5323</v>
      </c>
      <c r="W56" s="3">
        <v>5537</v>
      </c>
      <c r="X56" s="5">
        <f t="shared" si="9"/>
        <v>5323</v>
      </c>
    </row>
    <row r="57" spans="11:24" x14ac:dyDescent="0.25">
      <c r="K57" s="1">
        <f t="shared" si="3"/>
        <v>1</v>
      </c>
      <c r="L57" s="12">
        <f t="shared" si="4"/>
        <v>5646.8917084304967</v>
      </c>
      <c r="N57" s="1">
        <v>5805.319435865018</v>
      </c>
      <c r="P57" s="1">
        <f t="shared" si="5"/>
        <v>194</v>
      </c>
      <c r="Q57" s="1">
        <f t="shared" si="6"/>
        <v>37636</v>
      </c>
      <c r="R57" s="8"/>
      <c r="T57" s="1">
        <v>12</v>
      </c>
      <c r="U57" s="1" t="str">
        <f t="shared" si="7"/>
        <v>+</v>
      </c>
      <c r="V57" s="5">
        <f t="shared" si="8"/>
        <v>5812</v>
      </c>
      <c r="W57" s="3">
        <v>5504</v>
      </c>
      <c r="X57" s="5">
        <f t="shared" si="9"/>
        <v>5812</v>
      </c>
    </row>
    <row r="58" spans="11:24" x14ac:dyDescent="0.25">
      <c r="K58" s="1">
        <f t="shared" si="3"/>
        <v>0</v>
      </c>
      <c r="L58" s="12">
        <f t="shared" si="4"/>
        <v>116.89170843049624</v>
      </c>
      <c r="N58" s="1">
        <v>5611.319435865018</v>
      </c>
      <c r="P58" s="1">
        <f t="shared" si="5"/>
        <v>241</v>
      </c>
      <c r="Q58" s="1">
        <f t="shared" si="6"/>
        <v>58081</v>
      </c>
      <c r="R58" s="8"/>
      <c r="T58" s="1">
        <v>13</v>
      </c>
      <c r="U58" s="1" t="str">
        <f t="shared" si="7"/>
        <v>-</v>
      </c>
      <c r="V58" s="5">
        <f t="shared" si="8"/>
        <v>282</v>
      </c>
      <c r="W58" s="3">
        <v>5310</v>
      </c>
      <c r="X58" s="5">
        <f t="shared" si="9"/>
        <v>282</v>
      </c>
    </row>
    <row r="59" spans="11:24" x14ac:dyDescent="0.25">
      <c r="K59" s="1">
        <f t="shared" si="3"/>
        <v>0</v>
      </c>
      <c r="L59" s="12">
        <f t="shared" si="4"/>
        <v>637.89170843049624</v>
      </c>
      <c r="N59" s="1">
        <v>5370.319435865018</v>
      </c>
      <c r="P59" s="1">
        <f t="shared" si="5"/>
        <v>280</v>
      </c>
      <c r="Q59" s="1">
        <f t="shared" si="6"/>
        <v>78400</v>
      </c>
      <c r="R59" s="8"/>
      <c r="T59" s="1">
        <v>14</v>
      </c>
      <c r="U59" s="1" t="str">
        <f t="shared" si="7"/>
        <v>+</v>
      </c>
      <c r="V59" s="5">
        <f t="shared" si="8"/>
        <v>803</v>
      </c>
      <c r="W59" s="3">
        <v>5069</v>
      </c>
      <c r="X59" s="5">
        <f t="shared" si="9"/>
        <v>803</v>
      </c>
    </row>
    <row r="60" spans="11:24" x14ac:dyDescent="0.25">
      <c r="K60" s="1">
        <f t="shared" si="3"/>
        <v>1</v>
      </c>
      <c r="L60" s="12">
        <f t="shared" si="4"/>
        <v>5150.8917084304958</v>
      </c>
      <c r="N60" s="1">
        <v>5090.319435865018</v>
      </c>
      <c r="P60" s="1">
        <f t="shared" si="5"/>
        <v>75</v>
      </c>
      <c r="Q60" s="1">
        <f t="shared" si="6"/>
        <v>5625</v>
      </c>
      <c r="R60" s="8"/>
      <c r="T60" s="1">
        <v>15</v>
      </c>
      <c r="U60" s="1" t="str">
        <f t="shared" si="7"/>
        <v>-</v>
      </c>
      <c r="V60" s="5">
        <f t="shared" si="8"/>
        <v>5316</v>
      </c>
      <c r="W60" s="3">
        <v>4789</v>
      </c>
      <c r="X60" s="5">
        <f t="shared" si="9"/>
        <v>5316</v>
      </c>
    </row>
    <row r="61" spans="11:24" x14ac:dyDescent="0.25">
      <c r="K61" s="1">
        <f t="shared" si="3"/>
        <v>0</v>
      </c>
      <c r="L61" s="12">
        <f t="shared" si="4"/>
        <v>-75.108291569503763</v>
      </c>
      <c r="N61" s="1">
        <v>5015.319435865018</v>
      </c>
      <c r="P61" s="1">
        <f t="shared" si="5"/>
        <v>3570</v>
      </c>
      <c r="Q61" s="1">
        <f t="shared" si="6"/>
        <v>12744900</v>
      </c>
      <c r="R61" s="8"/>
      <c r="T61" s="1">
        <v>16</v>
      </c>
      <c r="U61" s="1" t="str">
        <f t="shared" si="7"/>
        <v>+</v>
      </c>
      <c r="V61" s="5">
        <f t="shared" si="8"/>
        <v>90</v>
      </c>
      <c r="W61" s="3">
        <v>4714</v>
      </c>
      <c r="X61" s="5">
        <f t="shared" si="9"/>
        <v>90</v>
      </c>
    </row>
    <row r="62" spans="11:24" x14ac:dyDescent="0.25">
      <c r="K62" s="1">
        <f t="shared" si="3"/>
        <v>1</v>
      </c>
      <c r="L62" s="12">
        <f t="shared" si="4"/>
        <v>5707.8917084304958</v>
      </c>
      <c r="N62" s="1">
        <v>1445.319435865018</v>
      </c>
      <c r="P62" s="1">
        <f t="shared" si="5"/>
        <v>366</v>
      </c>
      <c r="Q62" s="1">
        <f t="shared" si="6"/>
        <v>133956</v>
      </c>
      <c r="R62" s="8"/>
      <c r="T62" s="1">
        <v>17</v>
      </c>
      <c r="U62" s="1" t="str">
        <f t="shared" si="7"/>
        <v>+</v>
      </c>
      <c r="V62" s="5">
        <f t="shared" si="8"/>
        <v>5873</v>
      </c>
      <c r="W62" s="3">
        <v>1144</v>
      </c>
      <c r="X62" s="5">
        <f t="shared" si="9"/>
        <v>5873</v>
      </c>
    </row>
    <row r="63" spans="11:24" x14ac:dyDescent="0.25">
      <c r="K63" s="1">
        <f t="shared" si="3"/>
        <v>0</v>
      </c>
      <c r="L63" s="12">
        <f t="shared" si="4"/>
        <v>179.89170843049624</v>
      </c>
      <c r="N63" s="1">
        <v>1079.319435865018</v>
      </c>
      <c r="P63" s="1">
        <f t="shared" si="5"/>
        <v>155</v>
      </c>
      <c r="Q63" s="1">
        <f t="shared" si="6"/>
        <v>24025</v>
      </c>
      <c r="R63" s="8"/>
      <c r="T63" s="1">
        <v>18</v>
      </c>
      <c r="U63" s="1" t="str">
        <f t="shared" si="7"/>
        <v>+</v>
      </c>
      <c r="V63" s="5">
        <f t="shared" si="8"/>
        <v>345</v>
      </c>
      <c r="W63" s="3">
        <v>778</v>
      </c>
      <c r="X63" s="5">
        <f t="shared" si="9"/>
        <v>345</v>
      </c>
    </row>
    <row r="64" spans="11:24" x14ac:dyDescent="0.25">
      <c r="K64" s="1">
        <f t="shared" si="3"/>
        <v>1</v>
      </c>
      <c r="L64" s="12">
        <f t="shared" si="4"/>
        <v>5208.8917084304958</v>
      </c>
      <c r="N64" s="1">
        <v>924.31943586501802</v>
      </c>
      <c r="P64" s="1">
        <f t="shared" si="5"/>
        <v>0</v>
      </c>
      <c r="Q64" s="1">
        <f t="shared" si="6"/>
        <v>0</v>
      </c>
      <c r="R64" s="8"/>
      <c r="T64" s="1">
        <v>19</v>
      </c>
      <c r="U64" s="1" t="str">
        <f t="shared" si="7"/>
        <v>-</v>
      </c>
      <c r="V64" s="5">
        <f t="shared" si="8"/>
        <v>5374</v>
      </c>
      <c r="W64" s="3">
        <v>623</v>
      </c>
      <c r="X64" s="5">
        <f t="shared" si="9"/>
        <v>5374</v>
      </c>
    </row>
    <row r="65" spans="11:24" x14ac:dyDescent="0.25">
      <c r="K65" s="1">
        <f t="shared" si="3"/>
        <v>1</v>
      </c>
      <c r="L65" s="12">
        <f t="shared" si="4"/>
        <v>6320.8917084304967</v>
      </c>
      <c r="N65" s="1">
        <v>924.31943586501802</v>
      </c>
      <c r="P65" s="1">
        <f t="shared" si="5"/>
        <v>79</v>
      </c>
      <c r="Q65" s="1">
        <f t="shared" si="6"/>
        <v>6241</v>
      </c>
      <c r="R65" s="8"/>
      <c r="T65" s="1">
        <v>20</v>
      </c>
      <c r="U65" s="1" t="str">
        <f t="shared" si="7"/>
        <v>+</v>
      </c>
      <c r="V65" s="5">
        <f t="shared" si="8"/>
        <v>6486</v>
      </c>
      <c r="W65" s="3">
        <v>623</v>
      </c>
      <c r="X65" s="5">
        <f t="shared" si="9"/>
        <v>6486</v>
      </c>
    </row>
    <row r="66" spans="11:24" x14ac:dyDescent="0.25">
      <c r="K66" s="1">
        <f t="shared" si="3"/>
        <v>1</v>
      </c>
      <c r="L66" s="12">
        <f t="shared" si="4"/>
        <v>6219.8917084304958</v>
      </c>
      <c r="N66" s="1">
        <v>845.31943586501802</v>
      </c>
      <c r="P66" s="1">
        <f t="shared" si="5"/>
        <v>54</v>
      </c>
      <c r="Q66" s="1">
        <f t="shared" si="6"/>
        <v>2916</v>
      </c>
      <c r="R66" s="8"/>
      <c r="T66" s="1">
        <v>21</v>
      </c>
      <c r="U66" s="1" t="str">
        <f t="shared" si="7"/>
        <v>-</v>
      </c>
      <c r="V66" s="5">
        <f t="shared" si="8"/>
        <v>6385</v>
      </c>
      <c r="W66" s="3">
        <v>544</v>
      </c>
      <c r="X66" s="5">
        <f t="shared" si="9"/>
        <v>6385</v>
      </c>
    </row>
    <row r="67" spans="11:24" x14ac:dyDescent="0.25">
      <c r="K67" s="1">
        <f t="shared" si="3"/>
        <v>1</v>
      </c>
      <c r="L67" s="12">
        <f t="shared" si="4"/>
        <v>6415.8917084304958</v>
      </c>
      <c r="N67" s="1">
        <v>791.31943586501802</v>
      </c>
      <c r="P67" s="1">
        <f t="shared" si="5"/>
        <v>101</v>
      </c>
      <c r="Q67" s="1">
        <f t="shared" si="6"/>
        <v>10201</v>
      </c>
      <c r="R67" s="8"/>
      <c r="T67" s="1">
        <v>22</v>
      </c>
      <c r="U67" s="1" t="str">
        <f t="shared" si="7"/>
        <v>+</v>
      </c>
      <c r="V67" s="5">
        <f t="shared" si="8"/>
        <v>6581</v>
      </c>
      <c r="W67" s="3">
        <v>490</v>
      </c>
      <c r="X67" s="5">
        <f t="shared" si="9"/>
        <v>6581</v>
      </c>
    </row>
    <row r="68" spans="11:24" x14ac:dyDescent="0.25">
      <c r="K68" s="1">
        <f t="shared" si="3"/>
        <v>1</v>
      </c>
      <c r="L68" s="12">
        <f t="shared" si="4"/>
        <v>6128.8917084304958</v>
      </c>
      <c r="N68" s="1">
        <v>690.31943586501802</v>
      </c>
      <c r="P68" s="1">
        <f t="shared" si="5"/>
        <v>28</v>
      </c>
      <c r="Q68" s="1">
        <f t="shared" si="6"/>
        <v>784</v>
      </c>
      <c r="R68" s="8"/>
      <c r="T68" s="1">
        <v>23</v>
      </c>
      <c r="U68" s="1" t="str">
        <f t="shared" si="7"/>
        <v>-</v>
      </c>
      <c r="V68" s="5">
        <f t="shared" si="8"/>
        <v>6294</v>
      </c>
      <c r="W68" s="3">
        <v>389</v>
      </c>
      <c r="X68" s="5">
        <f t="shared" si="9"/>
        <v>6294</v>
      </c>
    </row>
    <row r="69" spans="11:24" x14ac:dyDescent="0.25">
      <c r="K69" s="1">
        <f t="shared" si="3"/>
        <v>1</v>
      </c>
      <c r="L69" s="12">
        <f t="shared" si="4"/>
        <v>5681.8917084304958</v>
      </c>
      <c r="N69" s="1">
        <v>662.31943586501802</v>
      </c>
      <c r="P69" s="1">
        <f t="shared" si="5"/>
        <v>28</v>
      </c>
      <c r="Q69" s="1">
        <f t="shared" si="6"/>
        <v>784</v>
      </c>
      <c r="R69" s="8"/>
      <c r="T69" s="1">
        <v>24</v>
      </c>
      <c r="U69" s="1" t="str">
        <f t="shared" si="7"/>
        <v>+</v>
      </c>
      <c r="V69" s="5">
        <f t="shared" si="8"/>
        <v>5847</v>
      </c>
      <c r="W69" s="3">
        <v>361</v>
      </c>
      <c r="X69" s="5">
        <f t="shared" si="9"/>
        <v>5847</v>
      </c>
    </row>
    <row r="70" spans="11:24" x14ac:dyDescent="0.25">
      <c r="K70" s="1">
        <f t="shared" si="3"/>
        <v>0</v>
      </c>
      <c r="L70" s="12">
        <f t="shared" si="4"/>
        <v>98.891708430496237</v>
      </c>
      <c r="N70" s="1">
        <v>634.31943586501802</v>
      </c>
      <c r="P70" s="1">
        <f t="shared" si="5"/>
        <v>42</v>
      </c>
      <c r="Q70" s="1">
        <f t="shared" si="6"/>
        <v>1764</v>
      </c>
      <c r="R70" s="8"/>
      <c r="T70" s="1">
        <v>25</v>
      </c>
      <c r="U70" s="1" t="str">
        <f t="shared" si="7"/>
        <v>+</v>
      </c>
      <c r="V70" s="5">
        <f t="shared" si="8"/>
        <v>264</v>
      </c>
      <c r="W70" s="3">
        <v>333</v>
      </c>
      <c r="X70" s="5">
        <f t="shared" si="9"/>
        <v>264</v>
      </c>
    </row>
    <row r="71" spans="11:24" x14ac:dyDescent="0.25">
      <c r="K71" s="1">
        <f t="shared" si="3"/>
        <v>0</v>
      </c>
      <c r="L71" s="12">
        <f t="shared" si="4"/>
        <v>823.89170843049624</v>
      </c>
      <c r="N71" s="1">
        <v>592.31943586501802</v>
      </c>
      <c r="P71" s="1">
        <f t="shared" si="5"/>
        <v>31</v>
      </c>
      <c r="Q71" s="1">
        <f t="shared" si="6"/>
        <v>961</v>
      </c>
      <c r="R71" s="8"/>
      <c r="T71" s="1">
        <v>26</v>
      </c>
      <c r="U71" s="1" t="str">
        <f t="shared" si="7"/>
        <v>+</v>
      </c>
      <c r="V71" s="5">
        <f t="shared" si="8"/>
        <v>989</v>
      </c>
      <c r="W71" s="3">
        <v>291</v>
      </c>
      <c r="X71" s="5">
        <f t="shared" si="9"/>
        <v>989</v>
      </c>
    </row>
    <row r="72" spans="11:24" x14ac:dyDescent="0.25">
      <c r="K72" s="1">
        <f t="shared" si="3"/>
        <v>1</v>
      </c>
      <c r="L72" s="12">
        <f t="shared" si="4"/>
        <v>5559.8917084304958</v>
      </c>
      <c r="N72" s="1">
        <v>561.31943586501802</v>
      </c>
      <c r="P72" s="1">
        <f t="shared" si="5"/>
        <v>21</v>
      </c>
      <c r="Q72" s="1">
        <f t="shared" si="6"/>
        <v>441</v>
      </c>
      <c r="R72" s="8"/>
      <c r="T72" s="1">
        <v>27</v>
      </c>
      <c r="U72" s="1" t="str">
        <f t="shared" si="7"/>
        <v>-</v>
      </c>
      <c r="V72" s="5">
        <f t="shared" si="8"/>
        <v>5725</v>
      </c>
      <c r="W72" s="3">
        <v>260</v>
      </c>
      <c r="X72" s="5">
        <f t="shared" si="9"/>
        <v>5725</v>
      </c>
    </row>
    <row r="73" spans="11:24" x14ac:dyDescent="0.25">
      <c r="K73" s="1">
        <f t="shared" si="3"/>
        <v>0</v>
      </c>
      <c r="L73" s="12">
        <f t="shared" si="4"/>
        <v>128.89170843049624</v>
      </c>
      <c r="N73" s="1">
        <v>540.31943586501802</v>
      </c>
      <c r="P73" s="1">
        <f t="shared" si="5"/>
        <v>14</v>
      </c>
      <c r="Q73" s="1">
        <f t="shared" si="6"/>
        <v>196</v>
      </c>
      <c r="R73" s="8"/>
      <c r="T73" s="1">
        <v>28</v>
      </c>
      <c r="U73" s="1" t="str">
        <f t="shared" si="7"/>
        <v>+</v>
      </c>
      <c r="V73" s="5">
        <f t="shared" si="8"/>
        <v>294</v>
      </c>
      <c r="W73" s="3">
        <v>239</v>
      </c>
      <c r="X73" s="5">
        <f t="shared" si="9"/>
        <v>294</v>
      </c>
    </row>
    <row r="74" spans="11:24" x14ac:dyDescent="0.25">
      <c r="K74" s="1">
        <f t="shared" si="3"/>
        <v>0</v>
      </c>
      <c r="L74" s="12">
        <f t="shared" si="4"/>
        <v>169.89170843049624</v>
      </c>
      <c r="N74" s="1">
        <v>526.31943586501802</v>
      </c>
      <c r="P74" s="1">
        <f t="shared" si="5"/>
        <v>10</v>
      </c>
      <c r="Q74" s="1">
        <f t="shared" si="6"/>
        <v>100</v>
      </c>
      <c r="R74" s="8"/>
      <c r="T74" s="1">
        <v>29</v>
      </c>
      <c r="U74" s="1" t="str">
        <f t="shared" si="7"/>
        <v>-</v>
      </c>
      <c r="V74" s="5">
        <f t="shared" si="8"/>
        <v>335</v>
      </c>
      <c r="W74" s="3">
        <v>225</v>
      </c>
      <c r="X74" s="5">
        <f t="shared" si="9"/>
        <v>335</v>
      </c>
    </row>
    <row r="75" spans="11:24" x14ac:dyDescent="0.25">
      <c r="K75" s="1">
        <f t="shared" si="3"/>
        <v>1</v>
      </c>
      <c r="L75" s="12">
        <f t="shared" si="4"/>
        <v>6075.8917084304958</v>
      </c>
      <c r="N75" s="1">
        <v>516.31943586501802</v>
      </c>
      <c r="P75" s="1">
        <f t="shared" si="5"/>
        <v>16</v>
      </c>
      <c r="Q75" s="1">
        <f t="shared" si="6"/>
        <v>256</v>
      </c>
      <c r="R75" s="8"/>
      <c r="T75" s="1">
        <v>30</v>
      </c>
      <c r="U75" s="1" t="str">
        <f t="shared" si="7"/>
        <v>+</v>
      </c>
      <c r="V75" s="5">
        <f t="shared" si="8"/>
        <v>6241</v>
      </c>
      <c r="W75" s="3">
        <v>215</v>
      </c>
      <c r="X75" s="5">
        <f t="shared" si="9"/>
        <v>6241</v>
      </c>
    </row>
    <row r="76" spans="11:24" x14ac:dyDescent="0.25">
      <c r="K76" s="1">
        <f t="shared" si="3"/>
        <v>1</v>
      </c>
      <c r="L76" s="12">
        <f t="shared" si="4"/>
        <v>5649.8917084304967</v>
      </c>
      <c r="N76" s="1">
        <v>500.31943586501802</v>
      </c>
      <c r="P76" s="1">
        <f t="shared" si="5"/>
        <v>9</v>
      </c>
      <c r="Q76" s="1">
        <f t="shared" si="6"/>
        <v>81</v>
      </c>
      <c r="R76" s="8"/>
      <c r="T76" s="1">
        <v>31</v>
      </c>
      <c r="U76" s="1" t="str">
        <f t="shared" si="7"/>
        <v>-</v>
      </c>
      <c r="V76" s="5">
        <f t="shared" si="8"/>
        <v>5815</v>
      </c>
      <c r="W76" s="3">
        <v>199</v>
      </c>
      <c r="X76" s="5">
        <f t="shared" si="9"/>
        <v>5815</v>
      </c>
    </row>
    <row r="77" spans="11:24" x14ac:dyDescent="0.25">
      <c r="K77" s="1">
        <f t="shared" si="3"/>
        <v>0</v>
      </c>
      <c r="L77" s="12">
        <f t="shared" si="4"/>
        <v>152.89170843049624</v>
      </c>
      <c r="N77" s="1">
        <v>491.31943586501802</v>
      </c>
      <c r="P77" s="1">
        <f t="shared" si="5"/>
        <v>3</v>
      </c>
      <c r="Q77" s="1">
        <f t="shared" si="6"/>
        <v>9</v>
      </c>
      <c r="R77" s="8"/>
      <c r="T77" s="1">
        <v>32</v>
      </c>
      <c r="U77" s="1" t="str">
        <f t="shared" si="7"/>
        <v>+</v>
      </c>
      <c r="V77" s="5">
        <f t="shared" si="8"/>
        <v>318</v>
      </c>
      <c r="W77" s="3">
        <v>190</v>
      </c>
      <c r="X77" s="5">
        <f t="shared" si="9"/>
        <v>318</v>
      </c>
    </row>
    <row r="78" spans="11:24" x14ac:dyDescent="0.25">
      <c r="K78" s="1">
        <f t="shared" si="3"/>
        <v>1</v>
      </c>
      <c r="L78" s="12">
        <f t="shared" si="4"/>
        <v>5536.8917084304958</v>
      </c>
      <c r="N78" s="1">
        <v>488.31943586501802</v>
      </c>
      <c r="P78" s="1">
        <f t="shared" si="5"/>
        <v>16</v>
      </c>
      <c r="Q78" s="1">
        <f t="shared" si="6"/>
        <v>256</v>
      </c>
      <c r="R78" s="8"/>
      <c r="T78" s="1">
        <v>33</v>
      </c>
      <c r="U78" s="1" t="str">
        <f t="shared" si="7"/>
        <v>+</v>
      </c>
      <c r="V78" s="5">
        <f t="shared" si="8"/>
        <v>5702</v>
      </c>
      <c r="W78" s="3">
        <v>187</v>
      </c>
      <c r="X78" s="5">
        <f t="shared" si="9"/>
        <v>5702</v>
      </c>
    </row>
    <row r="79" spans="11:24" x14ac:dyDescent="0.25">
      <c r="K79" s="1">
        <f t="shared" si="3"/>
        <v>0</v>
      </c>
      <c r="L79" s="12">
        <f t="shared" si="4"/>
        <v>-132.10829156950376</v>
      </c>
      <c r="N79" s="1">
        <v>472.31943586501802</v>
      </c>
      <c r="P79" s="1">
        <f t="shared" si="5"/>
        <v>21</v>
      </c>
      <c r="Q79" s="1">
        <f t="shared" si="6"/>
        <v>441</v>
      </c>
      <c r="R79" s="8"/>
      <c r="T79" s="1">
        <v>34</v>
      </c>
      <c r="U79" s="1" t="str">
        <f t="shared" si="7"/>
        <v>+</v>
      </c>
      <c r="V79" s="5">
        <f t="shared" si="8"/>
        <v>33</v>
      </c>
      <c r="W79" s="3">
        <v>171</v>
      </c>
      <c r="X79" s="5">
        <f t="shared" si="9"/>
        <v>33</v>
      </c>
    </row>
    <row r="80" spans="11:24" x14ac:dyDescent="0.25">
      <c r="K80" s="1">
        <f t="shared" si="3"/>
        <v>0</v>
      </c>
      <c r="L80" s="12">
        <f t="shared" si="4"/>
        <v>133.89170843049624</v>
      </c>
      <c r="N80" s="1">
        <v>451.31943586501802</v>
      </c>
      <c r="P80" s="1">
        <f t="shared" si="5"/>
        <v>7</v>
      </c>
      <c r="Q80" s="1">
        <f t="shared" si="6"/>
        <v>49</v>
      </c>
      <c r="R80" s="8"/>
      <c r="T80" s="1">
        <v>35</v>
      </c>
      <c r="U80" s="1" t="str">
        <f t="shared" si="7"/>
        <v>+</v>
      </c>
      <c r="V80" s="5">
        <f t="shared" si="8"/>
        <v>299</v>
      </c>
      <c r="W80" s="3">
        <v>150</v>
      </c>
      <c r="X80" s="5">
        <f t="shared" si="9"/>
        <v>299</v>
      </c>
    </row>
    <row r="81" spans="1:49" x14ac:dyDescent="0.25">
      <c r="K81" s="1">
        <f t="shared" si="3"/>
        <v>1</v>
      </c>
      <c r="L81" s="12">
        <f t="shared" si="4"/>
        <v>5861.8917084304958</v>
      </c>
      <c r="N81" s="1">
        <v>444.31943586501802</v>
      </c>
      <c r="P81" s="1">
        <f t="shared" si="5"/>
        <v>16</v>
      </c>
      <c r="Q81" s="1">
        <f t="shared" si="6"/>
        <v>256</v>
      </c>
      <c r="R81" s="8"/>
      <c r="T81" s="1">
        <v>36</v>
      </c>
      <c r="U81" s="1" t="str">
        <f t="shared" si="7"/>
        <v>-</v>
      </c>
      <c r="V81" s="5">
        <f t="shared" si="8"/>
        <v>6027</v>
      </c>
      <c r="W81" s="3">
        <v>143</v>
      </c>
      <c r="X81" s="5">
        <f t="shared" si="9"/>
        <v>6027</v>
      </c>
    </row>
    <row r="82" spans="1:49" x14ac:dyDescent="0.25">
      <c r="K82" s="1">
        <f t="shared" si="3"/>
        <v>1</v>
      </c>
      <c r="L82" s="12">
        <f t="shared" si="4"/>
        <v>6361.8917084304958</v>
      </c>
      <c r="N82" s="1">
        <v>428.31943586501802</v>
      </c>
      <c r="P82" s="1">
        <f t="shared" si="5"/>
        <v>56</v>
      </c>
      <c r="Q82" s="1">
        <f t="shared" si="6"/>
        <v>3136</v>
      </c>
      <c r="R82" s="8"/>
      <c r="T82" s="1">
        <v>37</v>
      </c>
      <c r="U82" s="1" t="str">
        <f t="shared" si="7"/>
        <v>+</v>
      </c>
      <c r="V82" s="5">
        <f t="shared" si="8"/>
        <v>6527</v>
      </c>
      <c r="W82" s="3">
        <v>127</v>
      </c>
      <c r="X82" s="5">
        <f t="shared" si="9"/>
        <v>6527</v>
      </c>
    </row>
    <row r="83" spans="1:49" ht="15.75" thickBot="1" x14ac:dyDescent="0.3">
      <c r="K83" s="1">
        <f t="shared" si="3"/>
        <v>0</v>
      </c>
      <c r="L83" s="12">
        <f t="shared" si="4"/>
        <v>1124.8917084304962</v>
      </c>
      <c r="N83" s="1">
        <v>372.31943586501802</v>
      </c>
      <c r="R83" s="9"/>
      <c r="T83" s="1">
        <v>38</v>
      </c>
      <c r="U83" s="1" t="str">
        <f t="shared" si="7"/>
        <v>-</v>
      </c>
      <c r="V83" s="5">
        <f t="shared" si="8"/>
        <v>1290</v>
      </c>
      <c r="W83" s="4">
        <v>71</v>
      </c>
      <c r="X83" s="5">
        <f t="shared" si="9"/>
        <v>1290</v>
      </c>
    </row>
    <row r="85" spans="1:49" x14ac:dyDescent="0.25">
      <c r="N85" s="1" t="s">
        <v>11</v>
      </c>
    </row>
    <row r="86" spans="1:49" x14ac:dyDescent="0.25">
      <c r="N86" s="1">
        <f>INDEX(N46:N83,MATCH(R46,P46:P82,0))</f>
        <v>5015.319435865018</v>
      </c>
    </row>
    <row r="90" spans="1:49" x14ac:dyDescent="0.25">
      <c r="K90" s="1">
        <v>7878</v>
      </c>
      <c r="L90" s="1">
        <v>4613</v>
      </c>
      <c r="M90" s="1">
        <v>5756</v>
      </c>
      <c r="N90" s="1">
        <v>5429</v>
      </c>
      <c r="O90" s="1">
        <v>4820</v>
      </c>
      <c r="P90" s="1">
        <v>5353</v>
      </c>
      <c r="Q90" s="1">
        <v>9673</v>
      </c>
      <c r="R90" s="1">
        <v>10206</v>
      </c>
      <c r="S90" s="1">
        <v>9412</v>
      </c>
      <c r="T90" s="1">
        <v>8977</v>
      </c>
      <c r="U90" s="1">
        <v>9619</v>
      </c>
      <c r="V90" s="1">
        <v>4570</v>
      </c>
      <c r="W90" s="1">
        <v>9064</v>
      </c>
      <c r="X90" s="1">
        <v>5114</v>
      </c>
      <c r="Y90" s="1">
        <v>3895</v>
      </c>
      <c r="Z90" s="1">
        <v>8955</v>
      </c>
      <c r="AA90" s="1">
        <v>4515</v>
      </c>
      <c r="AB90" s="1">
        <v>8182</v>
      </c>
      <c r="AC90" s="1">
        <v>8933</v>
      </c>
      <c r="AD90" s="1">
        <v>9292</v>
      </c>
      <c r="AE90" s="1">
        <v>4417</v>
      </c>
      <c r="AF90" s="1">
        <v>9249</v>
      </c>
      <c r="AG90" s="1">
        <v>5549</v>
      </c>
      <c r="AH90" s="1">
        <v>3960</v>
      </c>
      <c r="AI90" s="1">
        <v>8977</v>
      </c>
      <c r="AJ90" s="1">
        <v>9923</v>
      </c>
      <c r="AK90" s="1">
        <v>5277</v>
      </c>
      <c r="AL90" s="1">
        <v>4396</v>
      </c>
      <c r="AM90" s="1">
        <v>9738</v>
      </c>
      <c r="AN90" s="1">
        <v>9989</v>
      </c>
      <c r="AO90" s="1">
        <v>10565</v>
      </c>
      <c r="AP90" s="1">
        <v>5408</v>
      </c>
      <c r="AQ90" s="1">
        <v>10010</v>
      </c>
      <c r="AR90" s="1">
        <v>5756</v>
      </c>
      <c r="AS90" s="1">
        <v>4537</v>
      </c>
      <c r="AT90" s="1">
        <v>9793</v>
      </c>
      <c r="AU90" s="1">
        <v>10478</v>
      </c>
      <c r="AV90" s="1">
        <v>10359</v>
      </c>
      <c r="AW90" s="1">
        <v>9358</v>
      </c>
    </row>
    <row r="93" spans="1:49" x14ac:dyDescent="0.25">
      <c r="A93" s="11" t="s">
        <v>4</v>
      </c>
      <c r="B93" s="11" t="s">
        <v>17</v>
      </c>
      <c r="C93" s="11" t="s">
        <v>16</v>
      </c>
      <c r="D93" s="11" t="s">
        <v>0</v>
      </c>
      <c r="E93" s="11" t="s">
        <v>1</v>
      </c>
      <c r="F93" s="11" t="s">
        <v>2</v>
      </c>
      <c r="G93" s="11" t="s">
        <v>3</v>
      </c>
    </row>
    <row r="94" spans="1:49" x14ac:dyDescent="0.25">
      <c r="A94" s="1">
        <f t="shared" ref="A94:A131" si="10">$J$100*D94+$J$99</f>
        <v>3233.2834008097166</v>
      </c>
      <c r="B94" s="1">
        <f>(A94+C94)/2</f>
        <v>3309.4984857941954</v>
      </c>
      <c r="C94" s="1">
        <f>$J$97*D94+$J$96</f>
        <v>3385.7135707786747</v>
      </c>
      <c r="D94" s="1">
        <v>1</v>
      </c>
      <c r="E94" s="1">
        <f>V46</f>
        <v>5550</v>
      </c>
      <c r="F94" s="1">
        <f>D94^2</f>
        <v>1</v>
      </c>
      <c r="G94" s="1">
        <f>E94*D94</f>
        <v>5550</v>
      </c>
    </row>
    <row r="95" spans="1:49" x14ac:dyDescent="0.25">
      <c r="A95" s="1">
        <f t="shared" si="10"/>
        <v>3241.8655213918369</v>
      </c>
      <c r="B95" s="1">
        <f t="shared" ref="B95:B131" si="11">(A95+C95)/2</f>
        <v>3313.9608720528308</v>
      </c>
      <c r="C95" s="1">
        <f t="shared" ref="C95:C131" si="12">$J$97*D95+$J$96</f>
        <v>3386.0562227138248</v>
      </c>
      <c r="D95" s="1">
        <v>2</v>
      </c>
      <c r="E95" s="1">
        <f t="shared" ref="E95:E131" si="13">V47</f>
        <v>438</v>
      </c>
      <c r="F95" s="1">
        <f t="shared" ref="F95:F131" si="14">D95^2</f>
        <v>4</v>
      </c>
      <c r="G95" s="1">
        <f t="shared" ref="G95:G131" si="15">E95*D95</f>
        <v>876</v>
      </c>
    </row>
    <row r="96" spans="1:49" x14ac:dyDescent="0.25">
      <c r="A96" s="1">
        <f t="shared" si="10"/>
        <v>3250.4476419739576</v>
      </c>
      <c r="B96" s="1">
        <f t="shared" si="11"/>
        <v>3318.4232583114663</v>
      </c>
      <c r="C96" s="1">
        <f t="shared" si="12"/>
        <v>3386.3988746489745</v>
      </c>
      <c r="D96" s="1">
        <v>3</v>
      </c>
      <c r="E96" s="1">
        <f t="shared" si="13"/>
        <v>587</v>
      </c>
      <c r="F96" s="1">
        <f t="shared" si="14"/>
        <v>9</v>
      </c>
      <c r="G96" s="1">
        <f t="shared" si="15"/>
        <v>1761</v>
      </c>
      <c r="I96" s="11" t="s">
        <v>14</v>
      </c>
      <c r="J96" s="1">
        <f>(SUM(E94:E131)*SUM(E94:E131)-SUM(D94:D131)*SUM(G94:G131))/(38*SUM(E94:E131)-SUM(D94:D131)^2)</f>
        <v>3385.370918843525</v>
      </c>
    </row>
    <row r="97" spans="1:10" x14ac:dyDescent="0.25">
      <c r="A97" s="1">
        <f t="shared" si="10"/>
        <v>3259.0297625560784</v>
      </c>
      <c r="B97" s="1">
        <f t="shared" si="11"/>
        <v>3322.8856445701012</v>
      </c>
      <c r="C97" s="1">
        <f t="shared" si="12"/>
        <v>3386.7415265841246</v>
      </c>
      <c r="D97" s="1">
        <v>4</v>
      </c>
      <c r="E97" s="1">
        <f t="shared" si="13"/>
        <v>4898</v>
      </c>
      <c r="F97" s="1">
        <f t="shared" si="14"/>
        <v>16</v>
      </c>
      <c r="G97" s="1">
        <f t="shared" si="15"/>
        <v>19592</v>
      </c>
      <c r="I97" s="11" t="s">
        <v>20</v>
      </c>
      <c r="J97" s="1">
        <f>(38*SUM(G94:G131)-SUM(E94:E131)*SUM(D94:D131))/(38*SUM(E94:E131)-SUM(D94:D131)^2)</f>
        <v>0.34265193514987091</v>
      </c>
    </row>
    <row r="98" spans="1:10" x14ac:dyDescent="0.25">
      <c r="A98" s="1">
        <f t="shared" si="10"/>
        <v>3267.6118831381987</v>
      </c>
      <c r="B98" s="1">
        <f t="shared" si="11"/>
        <v>3327.3480308287362</v>
      </c>
      <c r="C98" s="1">
        <f t="shared" si="12"/>
        <v>3387.0841785192742</v>
      </c>
      <c r="D98" s="1">
        <v>5</v>
      </c>
      <c r="E98" s="1">
        <f t="shared" si="13"/>
        <v>5315</v>
      </c>
      <c r="F98" s="1">
        <f t="shared" si="14"/>
        <v>25</v>
      </c>
      <c r="G98" s="1">
        <f t="shared" si="15"/>
        <v>26575</v>
      </c>
      <c r="I98" s="11"/>
    </row>
    <row r="99" spans="1:10" x14ac:dyDescent="0.25">
      <c r="A99" s="1">
        <f t="shared" si="10"/>
        <v>3276.1940037203194</v>
      </c>
      <c r="B99" s="1">
        <f t="shared" si="11"/>
        <v>3331.8104170873721</v>
      </c>
      <c r="C99" s="1">
        <f t="shared" si="12"/>
        <v>3387.4268304544244</v>
      </c>
      <c r="D99" s="1">
        <v>6</v>
      </c>
      <c r="E99" s="1">
        <f t="shared" si="13"/>
        <v>4986</v>
      </c>
      <c r="F99" s="1">
        <f t="shared" si="14"/>
        <v>36</v>
      </c>
      <c r="G99" s="1">
        <f t="shared" si="15"/>
        <v>29916</v>
      </c>
      <c r="I99" s="11" t="s">
        <v>21</v>
      </c>
      <c r="J99" s="1">
        <f>(SUM(E94:E131)*SUM(F94:F131)-SUM(D94:D131)*SUM(G94:G131))/(38*SUM(F94:F131)-SUM(D94:D131)^2)</f>
        <v>3224.7012802275958</v>
      </c>
    </row>
    <row r="100" spans="1:10" x14ac:dyDescent="0.25">
      <c r="A100" s="1">
        <f t="shared" si="10"/>
        <v>3284.7761243024397</v>
      </c>
      <c r="B100" s="1">
        <f t="shared" si="11"/>
        <v>3336.2728033460071</v>
      </c>
      <c r="C100" s="1">
        <f t="shared" si="12"/>
        <v>3387.769482389574</v>
      </c>
      <c r="D100" s="1">
        <v>7</v>
      </c>
      <c r="E100" s="1">
        <f t="shared" si="13"/>
        <v>358</v>
      </c>
      <c r="F100" s="1">
        <f t="shared" si="14"/>
        <v>49</v>
      </c>
      <c r="G100" s="1">
        <f t="shared" si="15"/>
        <v>2506</v>
      </c>
      <c r="I100" s="11" t="s">
        <v>15</v>
      </c>
      <c r="J100" s="1">
        <f>(38*SUM(G94:G131)-SUM(E94:E131)*SUM(D94:D131))/(38*SUM(F94:F131)-SUM(D94:D131)^2)</f>
        <v>8.5821205821205826</v>
      </c>
    </row>
    <row r="101" spans="1:10" x14ac:dyDescent="0.25">
      <c r="A101" s="1">
        <f t="shared" si="10"/>
        <v>3293.3582448845605</v>
      </c>
      <c r="B101" s="1">
        <f t="shared" si="11"/>
        <v>3340.7351896046421</v>
      </c>
      <c r="C101" s="1">
        <f t="shared" si="12"/>
        <v>3388.1121343247241</v>
      </c>
      <c r="D101" s="1">
        <v>8</v>
      </c>
      <c r="E101" s="1">
        <f t="shared" si="13"/>
        <v>5250</v>
      </c>
      <c r="F101" s="1">
        <f t="shared" si="14"/>
        <v>64</v>
      </c>
      <c r="G101" s="1">
        <f t="shared" si="15"/>
        <v>42000</v>
      </c>
    </row>
    <row r="102" spans="1:10" x14ac:dyDescent="0.25">
      <c r="A102" s="1">
        <f t="shared" si="10"/>
        <v>3301.9403654666812</v>
      </c>
      <c r="B102" s="1">
        <f t="shared" si="11"/>
        <v>3345.1975758632775</v>
      </c>
      <c r="C102" s="1">
        <f t="shared" si="12"/>
        <v>3388.4547862598738</v>
      </c>
      <c r="D102" s="1">
        <v>9</v>
      </c>
      <c r="E102" s="1">
        <f t="shared" si="13"/>
        <v>479</v>
      </c>
      <c r="F102" s="1">
        <f t="shared" si="14"/>
        <v>81</v>
      </c>
      <c r="G102" s="1">
        <f t="shared" si="15"/>
        <v>4311</v>
      </c>
    </row>
    <row r="103" spans="1:10" x14ac:dyDescent="0.25">
      <c r="A103" s="1">
        <f t="shared" si="10"/>
        <v>3310.5224860488015</v>
      </c>
      <c r="B103" s="1">
        <f t="shared" si="11"/>
        <v>3349.6599621219129</v>
      </c>
      <c r="C103" s="1">
        <f t="shared" si="12"/>
        <v>3388.7974381950239</v>
      </c>
      <c r="D103" s="1">
        <v>10</v>
      </c>
      <c r="E103" s="1">
        <f t="shared" si="13"/>
        <v>367</v>
      </c>
      <c r="F103" s="1">
        <f t="shared" si="14"/>
        <v>100</v>
      </c>
      <c r="G103" s="1">
        <f t="shared" si="15"/>
        <v>3670</v>
      </c>
    </row>
    <row r="104" spans="1:10" x14ac:dyDescent="0.25">
      <c r="A104" s="1">
        <f t="shared" si="10"/>
        <v>3319.1046066309223</v>
      </c>
      <c r="B104" s="1">
        <f t="shared" si="11"/>
        <v>3354.1223483805479</v>
      </c>
      <c r="C104" s="1">
        <f t="shared" si="12"/>
        <v>3389.1400901301736</v>
      </c>
      <c r="D104" s="1">
        <v>11</v>
      </c>
      <c r="E104" s="1">
        <f t="shared" si="13"/>
        <v>5323</v>
      </c>
      <c r="F104" s="1">
        <f t="shared" si="14"/>
        <v>121</v>
      </c>
      <c r="G104" s="1">
        <f t="shared" si="15"/>
        <v>58553</v>
      </c>
    </row>
    <row r="105" spans="1:10" x14ac:dyDescent="0.25">
      <c r="A105" s="1">
        <f t="shared" si="10"/>
        <v>3327.686727213043</v>
      </c>
      <c r="B105" s="1">
        <f t="shared" si="11"/>
        <v>3358.5847346391834</v>
      </c>
      <c r="C105" s="1">
        <f t="shared" si="12"/>
        <v>3389.4827420653237</v>
      </c>
      <c r="D105" s="1">
        <v>12</v>
      </c>
      <c r="E105" s="1">
        <f t="shared" si="13"/>
        <v>5812</v>
      </c>
      <c r="F105" s="1">
        <f t="shared" si="14"/>
        <v>144</v>
      </c>
      <c r="G105" s="1">
        <f t="shared" si="15"/>
        <v>69744</v>
      </c>
    </row>
    <row r="106" spans="1:10" x14ac:dyDescent="0.25">
      <c r="A106" s="1">
        <f t="shared" si="10"/>
        <v>3336.2688477951633</v>
      </c>
      <c r="B106" s="1">
        <f t="shared" si="11"/>
        <v>3363.0471208978183</v>
      </c>
      <c r="C106" s="1">
        <f t="shared" si="12"/>
        <v>3389.8253940004734</v>
      </c>
      <c r="D106" s="1">
        <v>13</v>
      </c>
      <c r="E106" s="1">
        <f t="shared" si="13"/>
        <v>282</v>
      </c>
      <c r="F106" s="1">
        <f t="shared" si="14"/>
        <v>169</v>
      </c>
      <c r="G106" s="1">
        <f t="shared" si="15"/>
        <v>3666</v>
      </c>
    </row>
    <row r="107" spans="1:10" x14ac:dyDescent="0.25">
      <c r="A107" s="1">
        <f t="shared" si="10"/>
        <v>3344.8509683772841</v>
      </c>
      <c r="B107" s="1">
        <f t="shared" si="11"/>
        <v>3367.5095071564538</v>
      </c>
      <c r="C107" s="1">
        <f t="shared" si="12"/>
        <v>3390.168045935623</v>
      </c>
      <c r="D107" s="1">
        <v>14</v>
      </c>
      <c r="E107" s="1">
        <f t="shared" si="13"/>
        <v>803</v>
      </c>
      <c r="F107" s="1">
        <f t="shared" si="14"/>
        <v>196</v>
      </c>
      <c r="G107" s="1">
        <f t="shared" si="15"/>
        <v>11242</v>
      </c>
    </row>
    <row r="108" spans="1:10" x14ac:dyDescent="0.25">
      <c r="A108" s="1">
        <f t="shared" si="10"/>
        <v>3353.4330889594044</v>
      </c>
      <c r="B108" s="1">
        <f t="shared" si="11"/>
        <v>3371.9718934150887</v>
      </c>
      <c r="C108" s="1">
        <f t="shared" si="12"/>
        <v>3390.5106978707731</v>
      </c>
      <c r="D108" s="1">
        <v>15</v>
      </c>
      <c r="E108" s="1">
        <f t="shared" si="13"/>
        <v>5316</v>
      </c>
      <c r="F108" s="1">
        <f t="shared" si="14"/>
        <v>225</v>
      </c>
      <c r="G108" s="1">
        <f t="shared" si="15"/>
        <v>79740</v>
      </c>
    </row>
    <row r="109" spans="1:10" x14ac:dyDescent="0.25">
      <c r="A109" s="1">
        <f t="shared" si="10"/>
        <v>3362.0152095415251</v>
      </c>
      <c r="B109" s="1">
        <f t="shared" si="11"/>
        <v>3376.4342796737237</v>
      </c>
      <c r="C109" s="1">
        <f t="shared" si="12"/>
        <v>3390.8533498059228</v>
      </c>
      <c r="D109" s="1">
        <v>16</v>
      </c>
      <c r="E109" s="1">
        <f t="shared" si="13"/>
        <v>90</v>
      </c>
      <c r="F109" s="1">
        <f t="shared" si="14"/>
        <v>256</v>
      </c>
      <c r="G109" s="1">
        <f t="shared" si="15"/>
        <v>1440</v>
      </c>
    </row>
    <row r="110" spans="1:10" x14ac:dyDescent="0.25">
      <c r="A110" s="1">
        <f t="shared" si="10"/>
        <v>3370.5973301236459</v>
      </c>
      <c r="B110" s="1">
        <f t="shared" si="11"/>
        <v>3380.8966659323596</v>
      </c>
      <c r="C110" s="1">
        <f t="shared" si="12"/>
        <v>3391.1960017410729</v>
      </c>
      <c r="D110" s="1">
        <v>17</v>
      </c>
      <c r="E110" s="1">
        <f t="shared" si="13"/>
        <v>5873</v>
      </c>
      <c r="F110" s="1">
        <f t="shared" si="14"/>
        <v>289</v>
      </c>
      <c r="G110" s="1">
        <f t="shared" si="15"/>
        <v>99841</v>
      </c>
    </row>
    <row r="111" spans="1:10" x14ac:dyDescent="0.25">
      <c r="A111" s="1">
        <f t="shared" si="10"/>
        <v>3379.1794507057662</v>
      </c>
      <c r="B111" s="1">
        <f t="shared" si="11"/>
        <v>3385.3590521909946</v>
      </c>
      <c r="C111" s="1">
        <f t="shared" si="12"/>
        <v>3391.5386536762226</v>
      </c>
      <c r="D111" s="1">
        <v>18</v>
      </c>
      <c r="E111" s="1">
        <f t="shared" si="13"/>
        <v>345</v>
      </c>
      <c r="F111" s="1">
        <f t="shared" si="14"/>
        <v>324</v>
      </c>
      <c r="G111" s="1">
        <f t="shared" si="15"/>
        <v>6210</v>
      </c>
    </row>
    <row r="112" spans="1:10" x14ac:dyDescent="0.25">
      <c r="A112" s="1">
        <f t="shared" si="10"/>
        <v>3387.7615712878869</v>
      </c>
      <c r="B112" s="1">
        <f t="shared" si="11"/>
        <v>3389.8214384496296</v>
      </c>
      <c r="C112" s="1">
        <f t="shared" si="12"/>
        <v>3391.8813056113727</v>
      </c>
      <c r="D112" s="1">
        <v>19</v>
      </c>
      <c r="E112" s="1">
        <f t="shared" si="13"/>
        <v>5374</v>
      </c>
      <c r="F112" s="1">
        <f t="shared" si="14"/>
        <v>361</v>
      </c>
      <c r="G112" s="1">
        <f t="shared" si="15"/>
        <v>102106</v>
      </c>
    </row>
    <row r="113" spans="1:7" x14ac:dyDescent="0.25">
      <c r="A113" s="1">
        <f t="shared" si="10"/>
        <v>3396.3436918700077</v>
      </c>
      <c r="B113" s="1">
        <f t="shared" si="11"/>
        <v>3394.283824708265</v>
      </c>
      <c r="C113" s="1">
        <f t="shared" si="12"/>
        <v>3392.2239575465223</v>
      </c>
      <c r="D113" s="1">
        <v>20</v>
      </c>
      <c r="E113" s="1">
        <f t="shared" si="13"/>
        <v>6486</v>
      </c>
      <c r="F113" s="1">
        <f t="shared" si="14"/>
        <v>400</v>
      </c>
      <c r="G113" s="1">
        <f t="shared" si="15"/>
        <v>129720</v>
      </c>
    </row>
    <row r="114" spans="1:7" x14ac:dyDescent="0.25">
      <c r="A114" s="1">
        <f t="shared" si="10"/>
        <v>3404.925812452128</v>
      </c>
      <c r="B114" s="1">
        <f t="shared" si="11"/>
        <v>3398.7462109669004</v>
      </c>
      <c r="C114" s="1">
        <f t="shared" si="12"/>
        <v>3392.5666094816725</v>
      </c>
      <c r="D114" s="1">
        <v>21</v>
      </c>
      <c r="E114" s="1">
        <f t="shared" si="13"/>
        <v>6385</v>
      </c>
      <c r="F114" s="1">
        <f t="shared" si="14"/>
        <v>441</v>
      </c>
      <c r="G114" s="1">
        <f t="shared" si="15"/>
        <v>134085</v>
      </c>
    </row>
    <row r="115" spans="1:7" x14ac:dyDescent="0.25">
      <c r="A115" s="1">
        <f t="shared" si="10"/>
        <v>3413.5079330342487</v>
      </c>
      <c r="B115" s="1">
        <f t="shared" si="11"/>
        <v>3403.2085972255354</v>
      </c>
      <c r="C115" s="1">
        <f t="shared" si="12"/>
        <v>3392.9092614168221</v>
      </c>
      <c r="D115" s="1">
        <v>22</v>
      </c>
      <c r="E115" s="1">
        <f t="shared" si="13"/>
        <v>6581</v>
      </c>
      <c r="F115" s="1">
        <f t="shared" si="14"/>
        <v>484</v>
      </c>
      <c r="G115" s="1">
        <f t="shared" si="15"/>
        <v>144782</v>
      </c>
    </row>
    <row r="116" spans="1:7" x14ac:dyDescent="0.25">
      <c r="A116" s="1">
        <f t="shared" si="10"/>
        <v>3422.090053616369</v>
      </c>
      <c r="B116" s="1">
        <f t="shared" si="11"/>
        <v>3407.6709834841704</v>
      </c>
      <c r="C116" s="1">
        <f t="shared" si="12"/>
        <v>3393.2519133519722</v>
      </c>
      <c r="D116" s="1">
        <v>23</v>
      </c>
      <c r="E116" s="1">
        <f t="shared" si="13"/>
        <v>6294</v>
      </c>
      <c r="F116" s="1">
        <f t="shared" si="14"/>
        <v>529</v>
      </c>
      <c r="G116" s="1">
        <f t="shared" si="15"/>
        <v>144762</v>
      </c>
    </row>
    <row r="117" spans="1:7" x14ac:dyDescent="0.25">
      <c r="A117" s="1">
        <f t="shared" si="10"/>
        <v>3430.6721741984898</v>
      </c>
      <c r="B117" s="1">
        <f t="shared" si="11"/>
        <v>3412.1333697428058</v>
      </c>
      <c r="C117" s="1">
        <f t="shared" si="12"/>
        <v>3393.5945652871219</v>
      </c>
      <c r="D117" s="1">
        <v>24</v>
      </c>
      <c r="E117" s="1">
        <f t="shared" si="13"/>
        <v>5847</v>
      </c>
      <c r="F117" s="1">
        <f t="shared" si="14"/>
        <v>576</v>
      </c>
      <c r="G117" s="1">
        <f t="shared" si="15"/>
        <v>140328</v>
      </c>
    </row>
    <row r="118" spans="1:7" x14ac:dyDescent="0.25">
      <c r="A118" s="1">
        <f t="shared" si="10"/>
        <v>3439.2542947806105</v>
      </c>
      <c r="B118" s="1">
        <f t="shared" si="11"/>
        <v>3416.5957560014413</v>
      </c>
      <c r="C118" s="1">
        <f t="shared" si="12"/>
        <v>3393.937217222272</v>
      </c>
      <c r="D118" s="1">
        <v>25</v>
      </c>
      <c r="E118" s="1">
        <f t="shared" si="13"/>
        <v>264</v>
      </c>
      <c r="F118" s="1">
        <f t="shared" si="14"/>
        <v>625</v>
      </c>
      <c r="G118" s="1">
        <f t="shared" si="15"/>
        <v>6600</v>
      </c>
    </row>
    <row r="119" spans="1:7" x14ac:dyDescent="0.25">
      <c r="A119" s="1">
        <f t="shared" si="10"/>
        <v>3447.8364153627308</v>
      </c>
      <c r="B119" s="1">
        <f t="shared" si="11"/>
        <v>3421.0581422600762</v>
      </c>
      <c r="C119" s="1">
        <f t="shared" si="12"/>
        <v>3394.2798691574217</v>
      </c>
      <c r="D119" s="1">
        <v>26</v>
      </c>
      <c r="E119" s="1">
        <f t="shared" si="13"/>
        <v>989</v>
      </c>
      <c r="F119" s="1">
        <f t="shared" si="14"/>
        <v>676</v>
      </c>
      <c r="G119" s="1">
        <f t="shared" si="15"/>
        <v>25714</v>
      </c>
    </row>
    <row r="120" spans="1:7" x14ac:dyDescent="0.25">
      <c r="A120" s="1">
        <f t="shared" si="10"/>
        <v>3456.4185359448516</v>
      </c>
      <c r="B120" s="1">
        <f t="shared" si="11"/>
        <v>3425.5205285187112</v>
      </c>
      <c r="C120" s="1">
        <f t="shared" si="12"/>
        <v>3394.6225210925713</v>
      </c>
      <c r="D120" s="1">
        <v>27</v>
      </c>
      <c r="E120" s="1">
        <f t="shared" si="13"/>
        <v>5725</v>
      </c>
      <c r="F120" s="1">
        <f t="shared" si="14"/>
        <v>729</v>
      </c>
      <c r="G120" s="1">
        <f t="shared" si="15"/>
        <v>154575</v>
      </c>
    </row>
    <row r="121" spans="1:7" x14ac:dyDescent="0.25">
      <c r="A121" s="1">
        <f t="shared" si="10"/>
        <v>3465.0006565269723</v>
      </c>
      <c r="B121" s="1">
        <f t="shared" si="11"/>
        <v>3429.9829147773471</v>
      </c>
      <c r="C121" s="1">
        <f t="shared" si="12"/>
        <v>3394.9651730277214</v>
      </c>
      <c r="D121" s="1">
        <v>28</v>
      </c>
      <c r="E121" s="1">
        <f t="shared" si="13"/>
        <v>294</v>
      </c>
      <c r="F121" s="1">
        <f t="shared" si="14"/>
        <v>784</v>
      </c>
      <c r="G121" s="1">
        <f t="shared" si="15"/>
        <v>8232</v>
      </c>
    </row>
    <row r="122" spans="1:7" x14ac:dyDescent="0.25">
      <c r="A122" s="1">
        <f t="shared" si="10"/>
        <v>3473.5827771090926</v>
      </c>
      <c r="B122" s="1">
        <f t="shared" si="11"/>
        <v>3434.4453010359821</v>
      </c>
      <c r="C122" s="1">
        <f t="shared" si="12"/>
        <v>3395.3078249628711</v>
      </c>
      <c r="D122" s="1">
        <v>29</v>
      </c>
      <c r="E122" s="1">
        <f t="shared" si="13"/>
        <v>335</v>
      </c>
      <c r="F122" s="1">
        <f t="shared" si="14"/>
        <v>841</v>
      </c>
      <c r="G122" s="1">
        <f t="shared" si="15"/>
        <v>9715</v>
      </c>
    </row>
    <row r="123" spans="1:7" x14ac:dyDescent="0.25">
      <c r="A123" s="1">
        <f t="shared" si="10"/>
        <v>3482.1648976912134</v>
      </c>
      <c r="B123" s="1">
        <f t="shared" si="11"/>
        <v>3438.9076872946171</v>
      </c>
      <c r="C123" s="1">
        <f t="shared" si="12"/>
        <v>3395.6504768980212</v>
      </c>
      <c r="D123" s="1">
        <v>30</v>
      </c>
      <c r="E123" s="1">
        <f t="shared" si="13"/>
        <v>6241</v>
      </c>
      <c r="F123" s="1">
        <f t="shared" si="14"/>
        <v>900</v>
      </c>
      <c r="G123" s="1">
        <f t="shared" si="15"/>
        <v>187230</v>
      </c>
    </row>
    <row r="124" spans="1:7" x14ac:dyDescent="0.25">
      <c r="A124" s="1">
        <f t="shared" si="10"/>
        <v>3490.7470182733341</v>
      </c>
      <c r="B124" s="1">
        <f t="shared" si="11"/>
        <v>3443.3700735532525</v>
      </c>
      <c r="C124" s="1">
        <f t="shared" si="12"/>
        <v>3395.9931288331709</v>
      </c>
      <c r="D124" s="1">
        <v>31</v>
      </c>
      <c r="E124" s="1">
        <f t="shared" si="13"/>
        <v>5815</v>
      </c>
      <c r="F124" s="1">
        <f t="shared" si="14"/>
        <v>961</v>
      </c>
      <c r="G124" s="1">
        <f t="shared" si="15"/>
        <v>180265</v>
      </c>
    </row>
    <row r="125" spans="1:7" x14ac:dyDescent="0.25">
      <c r="A125" s="1">
        <f t="shared" si="10"/>
        <v>3499.3291388554544</v>
      </c>
      <c r="B125" s="1">
        <f t="shared" si="11"/>
        <v>3447.8324598118879</v>
      </c>
      <c r="C125" s="1">
        <f t="shared" si="12"/>
        <v>3396.335780768321</v>
      </c>
      <c r="D125" s="1">
        <v>32</v>
      </c>
      <c r="E125" s="1">
        <f t="shared" si="13"/>
        <v>318</v>
      </c>
      <c r="F125" s="1">
        <f t="shared" si="14"/>
        <v>1024</v>
      </c>
      <c r="G125" s="1">
        <f t="shared" si="15"/>
        <v>10176</v>
      </c>
    </row>
    <row r="126" spans="1:7" x14ac:dyDescent="0.25">
      <c r="A126" s="1">
        <f t="shared" si="10"/>
        <v>3507.9112594375752</v>
      </c>
      <c r="B126" s="1">
        <f t="shared" si="11"/>
        <v>3452.2948460705229</v>
      </c>
      <c r="C126" s="1">
        <f t="shared" si="12"/>
        <v>3396.6784327034707</v>
      </c>
      <c r="D126" s="1">
        <v>33</v>
      </c>
      <c r="E126" s="1">
        <f t="shared" si="13"/>
        <v>5702</v>
      </c>
      <c r="F126" s="1">
        <f t="shared" si="14"/>
        <v>1089</v>
      </c>
      <c r="G126" s="1">
        <f t="shared" si="15"/>
        <v>188166</v>
      </c>
    </row>
    <row r="127" spans="1:7" x14ac:dyDescent="0.25">
      <c r="A127" s="1">
        <f t="shared" si="10"/>
        <v>3516.4933800196955</v>
      </c>
      <c r="B127" s="1">
        <f t="shared" si="11"/>
        <v>3456.7572323291579</v>
      </c>
      <c r="C127" s="1">
        <f t="shared" si="12"/>
        <v>3397.0210846386208</v>
      </c>
      <c r="D127" s="1">
        <v>34</v>
      </c>
      <c r="E127" s="1">
        <f t="shared" si="13"/>
        <v>33</v>
      </c>
      <c r="F127" s="1">
        <f t="shared" si="14"/>
        <v>1156</v>
      </c>
      <c r="G127" s="1">
        <f t="shared" si="15"/>
        <v>1122</v>
      </c>
    </row>
    <row r="128" spans="1:7" x14ac:dyDescent="0.25">
      <c r="A128" s="1">
        <f t="shared" si="10"/>
        <v>3525.0755006018162</v>
      </c>
      <c r="B128" s="1">
        <f t="shared" si="11"/>
        <v>3461.2196185877933</v>
      </c>
      <c r="C128" s="1">
        <f t="shared" si="12"/>
        <v>3397.3637365737704</v>
      </c>
      <c r="D128" s="1">
        <v>35</v>
      </c>
      <c r="E128" s="1">
        <f t="shared" si="13"/>
        <v>299</v>
      </c>
      <c r="F128" s="1">
        <f t="shared" si="14"/>
        <v>1225</v>
      </c>
      <c r="G128" s="1">
        <f t="shared" si="15"/>
        <v>10465</v>
      </c>
    </row>
    <row r="129" spans="1:7" x14ac:dyDescent="0.25">
      <c r="A129" s="1">
        <f t="shared" si="10"/>
        <v>3533.657621183937</v>
      </c>
      <c r="B129" s="1">
        <f t="shared" si="11"/>
        <v>3465.6820048464288</v>
      </c>
      <c r="C129" s="1">
        <f t="shared" si="12"/>
        <v>3397.7063885089206</v>
      </c>
      <c r="D129" s="1">
        <v>36</v>
      </c>
      <c r="E129" s="1">
        <f t="shared" si="13"/>
        <v>6027</v>
      </c>
      <c r="F129" s="1">
        <f t="shared" si="14"/>
        <v>1296</v>
      </c>
      <c r="G129" s="1">
        <f t="shared" si="15"/>
        <v>216972</v>
      </c>
    </row>
    <row r="130" spans="1:7" x14ac:dyDescent="0.25">
      <c r="A130" s="1">
        <f t="shared" si="10"/>
        <v>3542.2397417660573</v>
      </c>
      <c r="B130" s="1">
        <f t="shared" si="11"/>
        <v>3470.1443911050637</v>
      </c>
      <c r="C130" s="1">
        <f t="shared" si="12"/>
        <v>3398.0490404440702</v>
      </c>
      <c r="D130" s="1">
        <v>37</v>
      </c>
      <c r="E130" s="1">
        <f t="shared" si="13"/>
        <v>6527</v>
      </c>
      <c r="F130" s="1">
        <f t="shared" si="14"/>
        <v>1369</v>
      </c>
      <c r="G130" s="1">
        <f t="shared" si="15"/>
        <v>241499</v>
      </c>
    </row>
    <row r="131" spans="1:7" x14ac:dyDescent="0.25">
      <c r="A131" s="1">
        <f t="shared" si="10"/>
        <v>3550.821862348178</v>
      </c>
      <c r="B131" s="1">
        <f t="shared" si="11"/>
        <v>3474.6067773636992</v>
      </c>
      <c r="C131" s="1">
        <f t="shared" si="12"/>
        <v>3398.3916923792203</v>
      </c>
      <c r="D131" s="1">
        <v>38</v>
      </c>
      <c r="E131" s="1">
        <f t="shared" si="13"/>
        <v>1290</v>
      </c>
      <c r="F131" s="1">
        <f t="shared" si="14"/>
        <v>1444</v>
      </c>
      <c r="G131" s="1">
        <f t="shared" si="15"/>
        <v>49020</v>
      </c>
    </row>
  </sheetData>
  <sortState xmlns:xlrd2="http://schemas.microsoft.com/office/spreadsheetml/2017/richdata2" ref="N46:N83">
    <sortCondition descending="1" ref="N45:N83"/>
  </sortState>
  <mergeCells count="2">
    <mergeCell ref="J4:J42"/>
    <mergeCell ref="D3:E3"/>
  </mergeCells>
  <pageMargins left="0.7" right="0.7" top="0.75" bottom="0.75" header="0.3" footer="0.3"/>
  <pageSetup paperSize="51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Фарадей</dc:creator>
  <cp:lastModifiedBy>Юрий Стадин</cp:lastModifiedBy>
  <dcterms:created xsi:type="dcterms:W3CDTF">2015-06-05T18:19:34Z</dcterms:created>
  <dcterms:modified xsi:type="dcterms:W3CDTF">2025-01-07T16:52:45Z</dcterms:modified>
</cp:coreProperties>
</file>